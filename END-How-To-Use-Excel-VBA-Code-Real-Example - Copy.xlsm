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ti\Desktop\Everyday VBA Task Vid\"/>
    </mc:Choice>
  </mc:AlternateContent>
  <xr:revisionPtr revIDLastSave="0" documentId="13_ncr:1_{33EEBE99-2506-4FDB-ADA6-9C704DE03BFD}" xr6:coauthVersionLast="43" xr6:coauthVersionMax="43" xr10:uidLastSave="{00000000-0000-0000-0000-000000000000}"/>
  <bookViews>
    <workbookView xWindow="-19320" yWindow="1830" windowWidth="19440" windowHeight="15000" tabRatio="654" xr2:uid="{00000000-000D-0000-FFFF-FFFF00000000}"/>
  </bookViews>
  <sheets>
    <sheet name="Analysis" sheetId="8" r:id="rId1"/>
    <sheet name="Use Indirect" sheetId="7" r:id="rId2"/>
    <sheet name="TX" sheetId="3" r:id="rId3"/>
    <sheet name="NY" sheetId="2" r:id="rId4"/>
    <sheet name="AZ" sheetId="4" r:id="rId5"/>
    <sheet name="MO" sheetId="5" r:id="rId6"/>
    <sheet name="1L" sheetId="13" r:id="rId7"/>
    <sheet name="2L" sheetId="14" r:id="rId8"/>
    <sheet name="3L" sheetId="15" r:id="rId9"/>
    <sheet name="4L" sheetId="1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8" l="1"/>
  <c r="D3" i="8" l="1"/>
  <c r="D5" i="8" s="1"/>
  <c r="E18" i="7"/>
  <c r="F10" i="7"/>
  <c r="F14" i="7"/>
  <c r="G3" i="7"/>
  <c r="D26" i="7"/>
  <c r="G4" i="7"/>
  <c r="F22" i="7"/>
  <c r="E7" i="7"/>
  <c r="F41" i="7"/>
  <c r="E29" i="7"/>
  <c r="F49" i="7"/>
  <c r="D4" i="7"/>
  <c r="G16" i="7"/>
  <c r="G32" i="7"/>
  <c r="G35" i="7"/>
  <c r="F16" i="7"/>
  <c r="E8" i="7"/>
  <c r="F31" i="7"/>
  <c r="D45" i="7"/>
  <c r="E44" i="7"/>
  <c r="G38" i="7"/>
  <c r="G51" i="7"/>
  <c r="D39" i="7"/>
  <c r="E22" i="7"/>
  <c r="F36" i="7"/>
  <c r="G10" i="7"/>
  <c r="D51" i="7"/>
  <c r="E32" i="7"/>
  <c r="F46" i="7"/>
  <c r="G29" i="7"/>
  <c r="E48" i="7"/>
  <c r="G42" i="7"/>
  <c r="D27" i="7"/>
  <c r="E34" i="7"/>
  <c r="F44" i="7"/>
  <c r="G41" i="7"/>
  <c r="E11" i="7"/>
  <c r="E23" i="7"/>
  <c r="E12" i="7"/>
  <c r="F29" i="7"/>
  <c r="G31" i="7"/>
  <c r="F20" i="7"/>
  <c r="F18" i="7"/>
  <c r="F40" i="7"/>
  <c r="D46" i="7"/>
  <c r="F33" i="7"/>
  <c r="F17" i="7"/>
  <c r="F3" i="7"/>
  <c r="D34" i="7"/>
  <c r="F39" i="7"/>
  <c r="G25" i="7"/>
  <c r="G44" i="7"/>
  <c r="G28" i="7"/>
  <c r="D12" i="7"/>
  <c r="E20" i="7"/>
  <c r="G9" i="7"/>
  <c r="E10" i="7"/>
  <c r="E30" i="7"/>
  <c r="D8" i="7"/>
  <c r="F9" i="7"/>
  <c r="D30" i="7"/>
  <c r="F50" i="7"/>
  <c r="D18" i="7"/>
  <c r="E47" i="7"/>
  <c r="F32" i="7"/>
  <c r="E38" i="7"/>
  <c r="F15" i="7"/>
  <c r="D3" i="7"/>
  <c r="F30" i="7"/>
  <c r="G46" i="7"/>
  <c r="E51" i="7"/>
  <c r="G30" i="7"/>
  <c r="E16" i="7"/>
  <c r="E46" i="7"/>
  <c r="D17" i="7"/>
  <c r="D49" i="7"/>
  <c r="E17" i="7"/>
  <c r="F51" i="7"/>
  <c r="G40" i="7"/>
  <c r="D6" i="7"/>
  <c r="G5" i="7"/>
  <c r="E15" i="7"/>
  <c r="F42" i="7"/>
  <c r="G7" i="7"/>
  <c r="D50" i="7"/>
  <c r="D14" i="7"/>
  <c r="G48" i="7"/>
  <c r="G43" i="7"/>
  <c r="D37" i="7"/>
  <c r="F34" i="7"/>
  <c r="F13" i="7"/>
  <c r="G47" i="7"/>
  <c r="G50" i="7"/>
  <c r="F12" i="7"/>
  <c r="F27" i="7"/>
  <c r="E19" i="7"/>
  <c r="D40" i="7"/>
  <c r="D10" i="7"/>
  <c r="F26" i="7"/>
  <c r="G45" i="7"/>
  <c r="G22" i="7"/>
  <c r="D23" i="7"/>
  <c r="F7" i="7"/>
  <c r="D21" i="7"/>
  <c r="D15" i="7"/>
  <c r="D31" i="7"/>
  <c r="D38" i="7"/>
  <c r="F6" i="7"/>
  <c r="G15" i="7"/>
  <c r="G17" i="7"/>
  <c r="D7" i="7"/>
  <c r="D41" i="7"/>
  <c r="E49" i="7"/>
  <c r="G13" i="7"/>
  <c r="E28" i="7"/>
  <c r="F48" i="7"/>
  <c r="D44" i="7"/>
  <c r="E5" i="7"/>
  <c r="D36" i="7"/>
  <c r="E13" i="7"/>
  <c r="G19" i="7"/>
  <c r="G14" i="7"/>
  <c r="F4" i="7"/>
  <c r="D29" i="7"/>
  <c r="G21" i="7"/>
  <c r="E27" i="7"/>
  <c r="F23" i="7"/>
  <c r="G8" i="7"/>
  <c r="D20" i="7"/>
  <c r="G49" i="7"/>
  <c r="E31" i="7"/>
  <c r="G36" i="7"/>
  <c r="D24" i="7"/>
  <c r="D16" i="7"/>
  <c r="F43" i="7"/>
  <c r="D48" i="7"/>
  <c r="D25" i="7"/>
  <c r="D5" i="7"/>
  <c r="E4" i="7"/>
  <c r="G23" i="7"/>
  <c r="D11" i="7"/>
  <c r="E37" i="7"/>
  <c r="F28" i="7"/>
  <c r="D33" i="7"/>
  <c r="E36" i="7"/>
  <c r="D19" i="7"/>
  <c r="D22" i="7"/>
  <c r="E39" i="7"/>
  <c r="G26" i="7"/>
  <c r="E41" i="7"/>
  <c r="D35" i="7"/>
  <c r="E45" i="7"/>
  <c r="D13" i="7"/>
  <c r="E26" i="7"/>
  <c r="D43" i="7"/>
  <c r="D9" i="7"/>
  <c r="E21" i="7"/>
  <c r="G24" i="7"/>
  <c r="D28" i="7"/>
  <c r="G39" i="7"/>
  <c r="E42" i="7"/>
  <c r="E33" i="7"/>
  <c r="F11" i="7"/>
  <c r="F37" i="7"/>
  <c r="E35" i="7"/>
  <c r="G18" i="7"/>
  <c r="G11" i="7"/>
  <c r="D42" i="7"/>
  <c r="F24" i="7"/>
  <c r="F25" i="7"/>
  <c r="F21" i="7"/>
  <c r="F45" i="7"/>
  <c r="E50" i="7"/>
  <c r="E24" i="7"/>
  <c r="G12" i="7"/>
  <c r="E14" i="7"/>
  <c r="F19" i="7"/>
  <c r="F38" i="7"/>
  <c r="F47" i="7"/>
  <c r="G20" i="7"/>
  <c r="E6" i="7"/>
  <c r="G6" i="7"/>
  <c r="G33" i="7"/>
  <c r="E3" i="7"/>
  <c r="D47" i="7"/>
  <c r="F8" i="7"/>
  <c r="D32" i="7"/>
  <c r="E25" i="7"/>
  <c r="F35" i="7"/>
  <c r="E9" i="7"/>
  <c r="G34" i="7"/>
  <c r="E43" i="7"/>
  <c r="G27" i="7"/>
  <c r="G37" i="7"/>
  <c r="F5" i="7"/>
  <c r="E40" i="7"/>
  <c r="G52" i="7" l="1"/>
  <c r="E52" i="7"/>
  <c r="F52" i="7"/>
  <c r="D52" i="7"/>
</calcChain>
</file>

<file path=xl/sharedStrings.xml><?xml version="1.0" encoding="utf-8"?>
<sst xmlns="http://schemas.openxmlformats.org/spreadsheetml/2006/main" count="781" uniqueCount="228">
  <si>
    <t>Property Address</t>
  </si>
  <si>
    <t>Property City</t>
  </si>
  <si>
    <t>Property State</t>
  </si>
  <si>
    <t>Property Zip Code</t>
  </si>
  <si>
    <t>TX</t>
  </si>
  <si>
    <t>HOT  WATER</t>
  </si>
  <si>
    <t>Owner Name</t>
  </si>
  <si>
    <t>Julia HERNANDEZ</t>
  </si>
  <si>
    <t>Allison BRANDT</t>
  </si>
  <si>
    <t>Shannon SMITH</t>
  </si>
  <si>
    <t>Henry STUART</t>
  </si>
  <si>
    <t>Ethel LONG</t>
  </si>
  <si>
    <t>Ricky LEVY</t>
  </si>
  <si>
    <t>Curtis RUSSELL</t>
  </si>
  <si>
    <t>Bob BRANCH</t>
  </si>
  <si>
    <t>Megan ESPARZA</t>
  </si>
  <si>
    <t>Dianne TERRELL</t>
  </si>
  <si>
    <t>Eugene REED</t>
  </si>
  <si>
    <t>Kristine THOMPSON</t>
  </si>
  <si>
    <t>Gretchen BROWN</t>
  </si>
  <si>
    <t>Guy CANTRELL</t>
  </si>
  <si>
    <t>Roy DUKE</t>
  </si>
  <si>
    <t>Bonnie HALEY</t>
  </si>
  <si>
    <t>Patrick RUBIO</t>
  </si>
  <si>
    <t>Jennifer JENKINS</t>
  </si>
  <si>
    <t>Faye HUGHES</t>
  </si>
  <si>
    <t>Jessica ROGERS</t>
  </si>
  <si>
    <t>Alfred LUCERO</t>
  </si>
  <si>
    <t>Robyn ROSARIO</t>
  </si>
  <si>
    <t>Tony JARVIS</t>
  </si>
  <si>
    <t>Jordan NOVAK</t>
  </si>
  <si>
    <t>Kathleen MADDOX</t>
  </si>
  <si>
    <t>Marian LEWIS</t>
  </si>
  <si>
    <t>Stacey MAYO</t>
  </si>
  <si>
    <t>Shirley COLLINS</t>
  </si>
  <si>
    <t>Greg HATFIELD</t>
  </si>
  <si>
    <t>Elsie KEY</t>
  </si>
  <si>
    <t>Franklin HARRIS</t>
  </si>
  <si>
    <t>Chris HUBER</t>
  </si>
  <si>
    <t>Stacy SULLIVAN</t>
  </si>
  <si>
    <t>Calvin WOOD</t>
  </si>
  <si>
    <t>Paul CAMPBELL</t>
  </si>
  <si>
    <t>Sidney HOLDEN</t>
  </si>
  <si>
    <t>Eileen CHANEY</t>
  </si>
  <si>
    <t>Stacy KRAUSE</t>
  </si>
  <si>
    <t>Pat RIVERA</t>
  </si>
  <si>
    <t>Franklin NIXON</t>
  </si>
  <si>
    <t>Lynne CRUZ</t>
  </si>
  <si>
    <t>Caroline SHEPPARD</t>
  </si>
  <si>
    <t>Penny STANTON</t>
  </si>
  <si>
    <t>Claire CLARK</t>
  </si>
  <si>
    <t>Stephanie HALL</t>
  </si>
  <si>
    <t>Glenda NGUYEN</t>
  </si>
  <si>
    <t>Marian KIDD</t>
  </si>
  <si>
    <t>NYC Customers</t>
  </si>
  <si>
    <t>TX Customers</t>
  </si>
  <si>
    <t>AZ Customers</t>
  </si>
  <si>
    <t>MO Customers</t>
  </si>
  <si>
    <t>2137 HYDE PARK RD</t>
  </si>
  <si>
    <t>4202 PALMER AVE</t>
  </si>
  <si>
    <t>3447 LANE AVE S</t>
  </si>
  <si>
    <t>7895 HATCHLING CT</t>
  </si>
  <si>
    <t>9400 LOFTY PINES CIR W</t>
  </si>
  <si>
    <t>8236 TIMUQUANA RD</t>
  </si>
  <si>
    <t>8760 SPRING LAKE RD W</t>
  </si>
  <si>
    <t>2262 BATLEY RD</t>
  </si>
  <si>
    <t>7161 KENWOOD DR E</t>
  </si>
  <si>
    <t>9700 ORIELY DR</t>
  </si>
  <si>
    <t>8186 SAGE DR</t>
  </si>
  <si>
    <t>512 TOM THUMB DR</t>
  </si>
  <si>
    <t>6569 ISH BRANT RD W</t>
  </si>
  <si>
    <t>6416 JAMMES RD</t>
  </si>
  <si>
    <t>3675 HERTA RD</t>
  </si>
  <si>
    <t>7943 DAUGHTRY BLVD S</t>
  </si>
  <si>
    <t>1899 BOY BLUE RD</t>
  </si>
  <si>
    <t>5969 ACOMA AVE</t>
  </si>
  <si>
    <t>6111 PERKE DR</t>
  </si>
  <si>
    <t>691 LANE AVE S</t>
  </si>
  <si>
    <t>4568 HARLOW BLVD</t>
  </si>
  <si>
    <t>567 BEVERLY CIR</t>
  </si>
  <si>
    <t>6314 BIDDY LN</t>
  </si>
  <si>
    <t>1608 BETHEL RD</t>
  </si>
  <si>
    <t>3951 BLOUNT AVE</t>
  </si>
  <si>
    <t>7323 CHRISTOPHER ROBIN DR</t>
  </si>
  <si>
    <t>7430 TIMUQUANA RD</t>
  </si>
  <si>
    <t>356 BILLS DR</t>
  </si>
  <si>
    <t>8769 HUGH EDWARDS DR</t>
  </si>
  <si>
    <t>4394 PALMER AVE</t>
  </si>
  <si>
    <t>367 LANE AVE S</t>
  </si>
  <si>
    <t>7613 ALLAMANDA DR</t>
  </si>
  <si>
    <t>6387 HATCHLING CT</t>
  </si>
  <si>
    <t>5977 COOPER LN</t>
  </si>
  <si>
    <t>8933 EIFFEL CIR E</t>
  </si>
  <si>
    <t>2100 HYDE PARK CIR</t>
  </si>
  <si>
    <t>5580 TIMUQUANA RD</t>
  </si>
  <si>
    <t>1637 SOLANDRA DR S</t>
  </si>
  <si>
    <t>7795 BATLEY RD</t>
  </si>
  <si>
    <t>5512 KENWOOD DR E</t>
  </si>
  <si>
    <t>7960 SAGE DR</t>
  </si>
  <si>
    <t>6505 TOM THUMB DR</t>
  </si>
  <si>
    <t>4999 ISH BRANT RD W</t>
  </si>
  <si>
    <t>4384 JAMMES RD</t>
  </si>
  <si>
    <t>6657 DAUGHTRY BLVD S</t>
  </si>
  <si>
    <t>3379 BOY BLUE RD</t>
  </si>
  <si>
    <t>9346 LANE AVE S</t>
  </si>
  <si>
    <t>766 ACOMA AVE</t>
  </si>
  <si>
    <t>5005 BIDDY LN</t>
  </si>
  <si>
    <t>6741 PERKE DR</t>
  </si>
  <si>
    <t>3547 MERRIMAC AVE</t>
  </si>
  <si>
    <t>5762 LANE AVE S</t>
  </si>
  <si>
    <t>3077 AUTLAN DR</t>
  </si>
  <si>
    <t>699 HARLOW BLVD</t>
  </si>
  <si>
    <t>1941 BEVERLY CIR</t>
  </si>
  <si>
    <t>3302 MCMANUS DR</t>
  </si>
  <si>
    <t>1836 BIDDY LN</t>
  </si>
  <si>
    <t>1099 BETHEL RD</t>
  </si>
  <si>
    <t>509 BLOUNT AVE</t>
  </si>
  <si>
    <t>6219 CHRISTOPHER ROBIN DR</t>
  </si>
  <si>
    <t>1697 MERRIMAC AVE</t>
  </si>
  <si>
    <t>2241 HUGH EDWARDS DR</t>
  </si>
  <si>
    <t>2525 TIMUQUANA RD</t>
  </si>
  <si>
    <t>5448 HUGH EDWARDS DR</t>
  </si>
  <si>
    <t>1538 HYDE PARK CIR</t>
  </si>
  <si>
    <t>7697 BILLS DR</t>
  </si>
  <si>
    <t>6529 GOLDILOCKS LN</t>
  </si>
  <si>
    <t>6785 HERLONG RD</t>
  </si>
  <si>
    <t>2113 HUGH EDWARDS DR</t>
  </si>
  <si>
    <t>6150 PALMER AVE</t>
  </si>
  <si>
    <t>1216 LANE AVE S</t>
  </si>
  <si>
    <t>7753 LANE AVE S</t>
  </si>
  <si>
    <t>1941 ALLAMANDA DR</t>
  </si>
  <si>
    <t>9937 HATCHLING CT</t>
  </si>
  <si>
    <t>3186 COOPER LN</t>
  </si>
  <si>
    <t>5118 EIFFEL CIR E</t>
  </si>
  <si>
    <t>5606 LOFTY PINES CIR W</t>
  </si>
  <si>
    <t>3392 HYDE PARK CIR</t>
  </si>
  <si>
    <t>2572 TIMUQUANA RD</t>
  </si>
  <si>
    <t>455 SOLANDRA DR S</t>
  </si>
  <si>
    <t>5770 BIRKENHEAD RD</t>
  </si>
  <si>
    <t>5345 SPRING LAKE RD W</t>
  </si>
  <si>
    <t>5803 BATLEY RD</t>
  </si>
  <si>
    <t>6827 KENWOOD DR E</t>
  </si>
  <si>
    <t>7388 ORIELY DR</t>
  </si>
  <si>
    <t>7414 SAGE DR</t>
  </si>
  <si>
    <t>8020 TOM THUMB DR</t>
  </si>
  <si>
    <t>4342 ISH BRANT RD W</t>
  </si>
  <si>
    <t>9719 JAMMES RD</t>
  </si>
  <si>
    <t>132 HERTA RD</t>
  </si>
  <si>
    <t>2207 DAUGHTRY BLVD S</t>
  </si>
  <si>
    <t>5417 BOY BLUE RD</t>
  </si>
  <si>
    <t>3450 LANE AVE S</t>
  </si>
  <si>
    <t>8648 ANVERS BLVD</t>
  </si>
  <si>
    <t>7672 ACOMA AVE</t>
  </si>
  <si>
    <t>4848 PERKE DR</t>
  </si>
  <si>
    <t>6484 LANE AVE S</t>
  </si>
  <si>
    <t>3163 AUTLAN DR</t>
  </si>
  <si>
    <t>6294 HARLOW BLVD</t>
  </si>
  <si>
    <t>5009 BIDDY LN</t>
  </si>
  <si>
    <t>6173 BLOUNT AVE</t>
  </si>
  <si>
    <t>8529 MERRIMAC AVE</t>
  </si>
  <si>
    <t>17 TIMUQUANA RD</t>
  </si>
  <si>
    <t>5366 HYDE PARK CIR</t>
  </si>
  <si>
    <t>603 GOLDILOCKS LN</t>
  </si>
  <si>
    <t>3126 LANE AVE S</t>
  </si>
  <si>
    <t>5283 ALLAMANDA DR</t>
  </si>
  <si>
    <t>7859 COOPER LN</t>
  </si>
  <si>
    <t>9092 LOFTY PINES CIR W</t>
  </si>
  <si>
    <t>9258 HYDE PARK CIR</t>
  </si>
  <si>
    <t>398 TIMUQUANA RD</t>
  </si>
  <si>
    <t>4977 BIRKENHEAD RD</t>
  </si>
  <si>
    <t>3644 BATLEY RD</t>
  </si>
  <si>
    <t>1911 ORIELY DR</t>
  </si>
  <si>
    <t>3034 TOM THUMB DR</t>
  </si>
  <si>
    <t>3024 ISH BRANT RD W</t>
  </si>
  <si>
    <t>655 JAMMES RD</t>
  </si>
  <si>
    <t>9058 HERTA RD</t>
  </si>
  <si>
    <t>5581 DAUGHTRY BLVD S</t>
  </si>
  <si>
    <t>7847 BOY BLUE RD</t>
  </si>
  <si>
    <t>3916 LANE AVE S</t>
  </si>
  <si>
    <t>9936 ANVERS BLVD</t>
  </si>
  <si>
    <t>1256 ACOMA AVE</t>
  </si>
  <si>
    <t>9233 BIDDY LN</t>
  </si>
  <si>
    <t>4929 PERKE DR</t>
  </si>
  <si>
    <t>8645 MERRIMAC AVE</t>
  </si>
  <si>
    <t>1886 LANE AVE S</t>
  </si>
  <si>
    <t>1744 AUTLAN DR</t>
  </si>
  <si>
    <t>4836 HARLOW BLVD</t>
  </si>
  <si>
    <t>3838 BEVERLY CIR</t>
  </si>
  <si>
    <t>9931 MCMANUS DR</t>
  </si>
  <si>
    <t>7767 BIDDY LN</t>
  </si>
  <si>
    <t>6336 BETHEL RD</t>
  </si>
  <si>
    <t>6285 BLOUNT AVE</t>
  </si>
  <si>
    <t>8279 CHRISTOPHER ROBIN DR</t>
  </si>
  <si>
    <t>1648 MERRIMAC AVE</t>
  </si>
  <si>
    <t>4014 HUGH EDWARDS DR</t>
  </si>
  <si>
    <t>5413 TIMUQUANA RD</t>
  </si>
  <si>
    <t>2271 HUGH EDWARDS DR</t>
  </si>
  <si>
    <t>6547 HYDE PARK CIR</t>
  </si>
  <si>
    <t>372 BILLS DR</t>
  </si>
  <si>
    <t>275 GOLDILOCKS LN</t>
  </si>
  <si>
    <t>2841 HERLONG RD</t>
  </si>
  <si>
    <t>Names</t>
  </si>
  <si>
    <t>John SMITH</t>
  </si>
  <si>
    <t>Luna HAMINGJA</t>
  </si>
  <si>
    <t>NYC</t>
  </si>
  <si>
    <t>AZ</t>
  </si>
  <si>
    <t>MO</t>
  </si>
  <si>
    <t>USING INDIRECT - (see Indirect Tutorial video)</t>
  </si>
  <si>
    <t>\</t>
  </si>
  <si>
    <t>Target Value</t>
  </si>
  <si>
    <t>Already Appears?</t>
  </si>
  <si>
    <t>Names in List</t>
  </si>
  <si>
    <t>Position in List</t>
  </si>
  <si>
    <t>Total</t>
  </si>
  <si>
    <t>NY</t>
  </si>
  <si>
    <t>List Sheet</t>
  </si>
  <si>
    <t>Names that appear once</t>
  </si>
  <si>
    <t>Names that appear twice</t>
  </si>
  <si>
    <t>Names that appear three times</t>
  </si>
  <si>
    <t>Names that appear four times</t>
  </si>
  <si>
    <t>Key Assumptions</t>
  </si>
  <si>
    <t>Cannot change order of sheets</t>
  </si>
  <si>
    <t>Cannot change sheet names</t>
  </si>
  <si>
    <t>Cannot move formulae around</t>
  </si>
  <si>
    <t>Cannot add new sheets (at least it requires care)</t>
  </si>
  <si>
    <t>Assume no gaps in data</t>
  </si>
  <si>
    <t>Cannot add new rows / columns</t>
  </si>
  <si>
    <t>Assume maximum of 2000 unique names in the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</si>
</sst>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7403-6F58-4BAD-9153-95D3552935C3}">
  <sheetPr codeName="Sheet1"/>
  <dimension ref="C2:H55"/>
  <sheetViews>
    <sheetView tabSelected="1" workbookViewId="0">
      <selection activeCell="H7" sqref="H7"/>
    </sheetView>
  </sheetViews>
  <sheetFormatPr defaultRowHeight="14.4" x14ac:dyDescent="0.55000000000000004"/>
  <cols>
    <col min="1" max="2" width="3.578125" customWidth="1"/>
    <col min="3" max="3" width="20.578125" customWidth="1"/>
    <col min="4" max="7" width="10.578125" customWidth="1"/>
  </cols>
  <sheetData>
    <row r="2" spans="3:8" x14ac:dyDescent="0.55000000000000004">
      <c r="C2" t="s">
        <v>209</v>
      </c>
      <c r="D2" t="s">
        <v>51</v>
      </c>
    </row>
    <row r="3" spans="3:8" x14ac:dyDescent="0.55000000000000004">
      <c r="C3" t="s">
        <v>210</v>
      </c>
      <c r="D3">
        <f>COUNTIF(C7:C2000,D2)</f>
        <v>1</v>
      </c>
    </row>
    <row r="4" spans="3:8" x14ac:dyDescent="0.55000000000000004">
      <c r="C4" t="s">
        <v>211</v>
      </c>
      <c r="D4">
        <f>COUNTA(C7:C2000)</f>
        <v>49</v>
      </c>
    </row>
    <row r="5" spans="3:8" x14ac:dyDescent="0.55000000000000004">
      <c r="C5" t="s">
        <v>212</v>
      </c>
      <c r="D5">
        <f>IF(D3=1,MATCH(D2,C7:C2000,0),"")</f>
        <v>40</v>
      </c>
    </row>
    <row r="6" spans="3:8" ht="30" customHeight="1" x14ac:dyDescent="0.55000000000000004">
      <c r="C6" t="s">
        <v>201</v>
      </c>
      <c r="D6" s="6" t="s">
        <v>55</v>
      </c>
      <c r="E6" s="6" t="s">
        <v>54</v>
      </c>
      <c r="F6" s="6" t="s">
        <v>56</v>
      </c>
      <c r="G6" s="6" t="s">
        <v>57</v>
      </c>
      <c r="H6" s="6" t="s">
        <v>213</v>
      </c>
    </row>
    <row r="7" spans="3:8" x14ac:dyDescent="0.55000000000000004">
      <c r="C7" t="s">
        <v>203</v>
      </c>
      <c r="D7" s="4">
        <v>1</v>
      </c>
      <c r="E7" s="4"/>
      <c r="F7" s="4"/>
      <c r="G7" s="4">
        <v>1</v>
      </c>
      <c r="H7">
        <v>2</v>
      </c>
    </row>
    <row r="8" spans="3:8" x14ac:dyDescent="0.55000000000000004">
      <c r="C8" t="s">
        <v>8</v>
      </c>
      <c r="D8" s="4">
        <v>1</v>
      </c>
      <c r="E8" s="4"/>
      <c r="F8" s="4">
        <v>1</v>
      </c>
      <c r="G8" s="4"/>
      <c r="H8">
        <v>2</v>
      </c>
    </row>
    <row r="9" spans="3:8" x14ac:dyDescent="0.55000000000000004">
      <c r="C9" t="s">
        <v>36</v>
      </c>
      <c r="D9" s="4">
        <v>1</v>
      </c>
      <c r="E9" s="4"/>
      <c r="F9" s="4">
        <v>1</v>
      </c>
      <c r="G9" s="4">
        <v>1</v>
      </c>
      <c r="H9">
        <v>3</v>
      </c>
    </row>
    <row r="10" spans="3:8" x14ac:dyDescent="0.55000000000000004">
      <c r="C10" t="s">
        <v>37</v>
      </c>
      <c r="D10" s="4">
        <v>1</v>
      </c>
      <c r="E10" s="4"/>
      <c r="F10" s="4">
        <v>1</v>
      </c>
      <c r="G10" s="4">
        <v>1</v>
      </c>
      <c r="H10">
        <v>3</v>
      </c>
    </row>
    <row r="11" spans="3:8" x14ac:dyDescent="0.55000000000000004">
      <c r="C11" t="s">
        <v>10</v>
      </c>
      <c r="D11" s="4">
        <v>1</v>
      </c>
      <c r="E11" s="4">
        <v>1</v>
      </c>
      <c r="F11" s="4">
        <v>1</v>
      </c>
      <c r="G11" s="4"/>
      <c r="H11">
        <v>3</v>
      </c>
    </row>
    <row r="12" spans="3:8" x14ac:dyDescent="0.55000000000000004">
      <c r="C12" t="s">
        <v>38</v>
      </c>
      <c r="D12" s="4">
        <v>1</v>
      </c>
      <c r="E12" s="4"/>
      <c r="F12" s="4">
        <v>1</v>
      </c>
      <c r="G12" s="4">
        <v>1</v>
      </c>
      <c r="H12">
        <v>3</v>
      </c>
    </row>
    <row r="13" spans="3:8" x14ac:dyDescent="0.55000000000000004">
      <c r="C13" t="s">
        <v>39</v>
      </c>
      <c r="D13" s="4">
        <v>1</v>
      </c>
      <c r="E13" s="4"/>
      <c r="F13" s="4">
        <v>1</v>
      </c>
      <c r="G13" s="4"/>
      <c r="H13">
        <v>2</v>
      </c>
    </row>
    <row r="14" spans="3:8" x14ac:dyDescent="0.55000000000000004">
      <c r="C14" t="s">
        <v>40</v>
      </c>
      <c r="D14" s="4">
        <v>1</v>
      </c>
      <c r="E14" s="4"/>
      <c r="F14" s="4">
        <v>1</v>
      </c>
      <c r="G14" s="4">
        <v>1</v>
      </c>
      <c r="H14">
        <v>3</v>
      </c>
    </row>
    <row r="15" spans="3:8" x14ac:dyDescent="0.55000000000000004">
      <c r="C15" t="s">
        <v>12</v>
      </c>
      <c r="D15" s="4">
        <v>1</v>
      </c>
      <c r="E15" s="4">
        <v>1</v>
      </c>
      <c r="F15" s="4">
        <v>1</v>
      </c>
      <c r="G15" s="4">
        <v>1</v>
      </c>
      <c r="H15">
        <v>4</v>
      </c>
    </row>
    <row r="16" spans="3:8" x14ac:dyDescent="0.55000000000000004">
      <c r="C16" t="s">
        <v>41</v>
      </c>
      <c r="D16" s="4">
        <v>1</v>
      </c>
      <c r="E16" s="4"/>
      <c r="F16" s="4">
        <v>1</v>
      </c>
      <c r="G16" s="4"/>
      <c r="H16">
        <v>2</v>
      </c>
    </row>
    <row r="17" spans="3:8" x14ac:dyDescent="0.55000000000000004">
      <c r="C17" t="s">
        <v>14</v>
      </c>
      <c r="D17" s="4">
        <v>1</v>
      </c>
      <c r="E17" s="4">
        <v>1</v>
      </c>
      <c r="F17" s="4">
        <v>1</v>
      </c>
      <c r="G17" s="4">
        <v>1</v>
      </c>
      <c r="H17">
        <v>4</v>
      </c>
    </row>
    <row r="18" spans="3:8" x14ac:dyDescent="0.55000000000000004">
      <c r="C18" t="s">
        <v>15</v>
      </c>
      <c r="D18" s="4">
        <v>1</v>
      </c>
      <c r="E18" s="4">
        <v>1</v>
      </c>
      <c r="F18" s="4">
        <v>1</v>
      </c>
      <c r="G18" s="4"/>
      <c r="H18">
        <v>3</v>
      </c>
    </row>
    <row r="19" spans="3:8" x14ac:dyDescent="0.55000000000000004">
      <c r="C19" t="s">
        <v>17</v>
      </c>
      <c r="D19" s="4">
        <v>1</v>
      </c>
      <c r="E19" s="4">
        <v>1</v>
      </c>
      <c r="F19" s="4">
        <v>1</v>
      </c>
      <c r="G19" s="4"/>
      <c r="H19">
        <v>3</v>
      </c>
    </row>
    <row r="20" spans="3:8" x14ac:dyDescent="0.55000000000000004">
      <c r="C20" t="s">
        <v>18</v>
      </c>
      <c r="D20" s="4">
        <v>1</v>
      </c>
      <c r="E20" s="4">
        <v>1</v>
      </c>
      <c r="F20" s="4">
        <v>1</v>
      </c>
      <c r="G20" s="4">
        <v>1</v>
      </c>
      <c r="H20">
        <v>4</v>
      </c>
    </row>
    <row r="21" spans="3:8" x14ac:dyDescent="0.55000000000000004">
      <c r="C21" t="s">
        <v>19</v>
      </c>
      <c r="D21" s="4">
        <v>1</v>
      </c>
      <c r="E21" s="4">
        <v>1</v>
      </c>
      <c r="F21" s="4">
        <v>1</v>
      </c>
      <c r="G21" s="4">
        <v>1</v>
      </c>
      <c r="H21">
        <v>4</v>
      </c>
    </row>
    <row r="22" spans="3:8" x14ac:dyDescent="0.55000000000000004">
      <c r="C22" t="s">
        <v>20</v>
      </c>
      <c r="D22" s="4">
        <v>1</v>
      </c>
      <c r="E22" s="4">
        <v>1</v>
      </c>
      <c r="F22" s="4">
        <v>1</v>
      </c>
      <c r="G22" s="4">
        <v>1</v>
      </c>
      <c r="H22">
        <v>4</v>
      </c>
    </row>
    <row r="23" spans="3:8" x14ac:dyDescent="0.55000000000000004">
      <c r="C23" t="s">
        <v>22</v>
      </c>
      <c r="D23" s="4">
        <v>1</v>
      </c>
      <c r="E23" s="4">
        <v>1</v>
      </c>
      <c r="F23" s="4">
        <v>1</v>
      </c>
      <c r="G23" s="4">
        <v>1</v>
      </c>
      <c r="H23">
        <v>4</v>
      </c>
    </row>
    <row r="24" spans="3:8" x14ac:dyDescent="0.55000000000000004">
      <c r="C24" t="s">
        <v>23</v>
      </c>
      <c r="D24" s="4">
        <v>1</v>
      </c>
      <c r="E24" s="4">
        <v>1</v>
      </c>
      <c r="F24" s="4">
        <v>1</v>
      </c>
      <c r="G24" s="4">
        <v>1</v>
      </c>
      <c r="H24">
        <v>4</v>
      </c>
    </row>
    <row r="25" spans="3:8" x14ac:dyDescent="0.55000000000000004">
      <c r="C25" t="s">
        <v>42</v>
      </c>
      <c r="D25" s="4">
        <v>1</v>
      </c>
      <c r="E25" s="4"/>
      <c r="F25" s="4">
        <v>1</v>
      </c>
      <c r="G25" s="4">
        <v>1</v>
      </c>
      <c r="H25">
        <v>3</v>
      </c>
    </row>
    <row r="26" spans="3:8" x14ac:dyDescent="0.55000000000000004">
      <c r="C26" t="s">
        <v>24</v>
      </c>
      <c r="D26" s="4">
        <v>1</v>
      </c>
      <c r="E26" s="4">
        <v>1</v>
      </c>
      <c r="F26" s="4">
        <v>1</v>
      </c>
      <c r="G26" s="4">
        <v>1</v>
      </c>
      <c r="H26">
        <v>4</v>
      </c>
    </row>
    <row r="27" spans="3:8" x14ac:dyDescent="0.55000000000000004">
      <c r="C27" t="s">
        <v>43</v>
      </c>
      <c r="D27" s="4">
        <v>1</v>
      </c>
      <c r="E27" s="4"/>
      <c r="F27" s="4"/>
      <c r="G27" s="4">
        <v>1</v>
      </c>
      <c r="H27">
        <v>2</v>
      </c>
    </row>
    <row r="28" spans="3:8" x14ac:dyDescent="0.55000000000000004">
      <c r="C28" t="s">
        <v>25</v>
      </c>
      <c r="D28" s="4">
        <v>1</v>
      </c>
      <c r="E28" s="4">
        <v>1</v>
      </c>
      <c r="F28" s="4">
        <v>1</v>
      </c>
      <c r="G28" s="4">
        <v>1</v>
      </c>
      <c r="H28">
        <v>4</v>
      </c>
    </row>
    <row r="29" spans="3:8" x14ac:dyDescent="0.55000000000000004">
      <c r="C29" t="s">
        <v>44</v>
      </c>
      <c r="D29" s="4">
        <v>1</v>
      </c>
      <c r="E29" s="4"/>
      <c r="F29" s="4"/>
      <c r="G29" s="4">
        <v>1</v>
      </c>
      <c r="H29">
        <v>2</v>
      </c>
    </row>
    <row r="30" spans="3:8" x14ac:dyDescent="0.55000000000000004">
      <c r="C30" t="s">
        <v>26</v>
      </c>
      <c r="D30" s="4">
        <v>1</v>
      </c>
      <c r="E30" s="4">
        <v>1</v>
      </c>
      <c r="F30" s="4">
        <v>1</v>
      </c>
      <c r="G30" s="4">
        <v>1</v>
      </c>
      <c r="H30">
        <v>4</v>
      </c>
    </row>
    <row r="31" spans="3:8" x14ac:dyDescent="0.55000000000000004">
      <c r="C31" t="s">
        <v>45</v>
      </c>
      <c r="D31" s="4">
        <v>1</v>
      </c>
      <c r="E31" s="4"/>
      <c r="F31" s="4">
        <v>1</v>
      </c>
      <c r="G31" s="4">
        <v>1</v>
      </c>
      <c r="H31">
        <v>3</v>
      </c>
    </row>
    <row r="32" spans="3:8" x14ac:dyDescent="0.55000000000000004">
      <c r="C32" t="s">
        <v>27</v>
      </c>
      <c r="D32" s="4">
        <v>1</v>
      </c>
      <c r="E32" s="4">
        <v>1</v>
      </c>
      <c r="F32" s="4">
        <v>1</v>
      </c>
      <c r="G32" s="4">
        <v>1</v>
      </c>
      <c r="H32">
        <v>4</v>
      </c>
    </row>
    <row r="33" spans="3:8" x14ac:dyDescent="0.55000000000000004">
      <c r="C33" t="s">
        <v>28</v>
      </c>
      <c r="D33" s="4">
        <v>1</v>
      </c>
      <c r="E33" s="4">
        <v>1</v>
      </c>
      <c r="F33" s="4"/>
      <c r="G33" s="4">
        <v>1</v>
      </c>
      <c r="H33">
        <v>3</v>
      </c>
    </row>
    <row r="34" spans="3:8" x14ac:dyDescent="0.55000000000000004">
      <c r="C34" t="s">
        <v>13</v>
      </c>
      <c r="D34" s="4">
        <v>1</v>
      </c>
      <c r="E34" s="4">
        <v>1</v>
      </c>
      <c r="F34" s="4">
        <v>1</v>
      </c>
      <c r="G34" s="4">
        <v>1</v>
      </c>
      <c r="H34">
        <v>4</v>
      </c>
    </row>
    <row r="35" spans="3:8" x14ac:dyDescent="0.55000000000000004">
      <c r="C35" t="s">
        <v>29</v>
      </c>
      <c r="D35" s="4">
        <v>1</v>
      </c>
      <c r="E35" s="4">
        <v>1</v>
      </c>
      <c r="F35" s="4">
        <v>1</v>
      </c>
      <c r="G35" s="4">
        <v>1</v>
      </c>
      <c r="H35">
        <v>4</v>
      </c>
    </row>
    <row r="36" spans="3:8" x14ac:dyDescent="0.55000000000000004">
      <c r="C36" t="s">
        <v>30</v>
      </c>
      <c r="D36" s="4">
        <v>1</v>
      </c>
      <c r="E36" s="4">
        <v>1</v>
      </c>
      <c r="F36" s="4"/>
      <c r="G36" s="4">
        <v>1</v>
      </c>
      <c r="H36">
        <v>3</v>
      </c>
    </row>
    <row r="37" spans="3:8" x14ac:dyDescent="0.55000000000000004">
      <c r="C37" t="s">
        <v>31</v>
      </c>
      <c r="D37" s="4">
        <v>1</v>
      </c>
      <c r="E37" s="4">
        <v>1</v>
      </c>
      <c r="F37" s="4">
        <v>1</v>
      </c>
      <c r="G37" s="4">
        <v>1</v>
      </c>
      <c r="H37">
        <v>4</v>
      </c>
    </row>
    <row r="38" spans="3:8" x14ac:dyDescent="0.55000000000000004">
      <c r="C38" t="s">
        <v>32</v>
      </c>
      <c r="D38" s="4">
        <v>1</v>
      </c>
      <c r="E38" s="4">
        <v>1</v>
      </c>
      <c r="F38" s="4"/>
      <c r="G38" s="4">
        <v>1</v>
      </c>
      <c r="H38">
        <v>3</v>
      </c>
    </row>
    <row r="39" spans="3:8" x14ac:dyDescent="0.55000000000000004">
      <c r="C39" t="s">
        <v>46</v>
      </c>
      <c r="D39" s="4">
        <v>1</v>
      </c>
      <c r="E39" s="4"/>
      <c r="F39" s="4">
        <v>1</v>
      </c>
      <c r="G39" s="4">
        <v>1</v>
      </c>
      <c r="H39">
        <v>3</v>
      </c>
    </row>
    <row r="40" spans="3:8" x14ac:dyDescent="0.55000000000000004">
      <c r="C40" t="s">
        <v>47</v>
      </c>
      <c r="D40" s="4">
        <v>1</v>
      </c>
      <c r="E40" s="4"/>
      <c r="F40" s="4"/>
      <c r="G40" s="4">
        <v>1</v>
      </c>
      <c r="H40">
        <v>2</v>
      </c>
    </row>
    <row r="41" spans="3:8" x14ac:dyDescent="0.55000000000000004">
      <c r="C41" t="s">
        <v>33</v>
      </c>
      <c r="D41" s="4">
        <v>1</v>
      </c>
      <c r="E41" s="4">
        <v>1</v>
      </c>
      <c r="F41" s="4">
        <v>1</v>
      </c>
      <c r="G41" s="4">
        <v>1</v>
      </c>
      <c r="H41">
        <v>4</v>
      </c>
    </row>
    <row r="42" spans="3:8" x14ac:dyDescent="0.55000000000000004">
      <c r="C42" t="s">
        <v>48</v>
      </c>
      <c r="D42" s="4">
        <v>1</v>
      </c>
      <c r="E42" s="4"/>
      <c r="F42" s="4"/>
      <c r="G42" s="4">
        <v>1</v>
      </c>
      <c r="H42">
        <v>2</v>
      </c>
    </row>
    <row r="43" spans="3:8" x14ac:dyDescent="0.55000000000000004">
      <c r="C43" t="s">
        <v>49</v>
      </c>
      <c r="D43" s="4">
        <v>1</v>
      </c>
      <c r="E43" s="4"/>
      <c r="F43" s="4">
        <v>1</v>
      </c>
      <c r="G43" s="4">
        <v>1</v>
      </c>
      <c r="H43">
        <v>3</v>
      </c>
    </row>
    <row r="44" spans="3:8" x14ac:dyDescent="0.55000000000000004">
      <c r="C44" t="s">
        <v>34</v>
      </c>
      <c r="D44" s="4">
        <v>1</v>
      </c>
      <c r="E44" s="4">
        <v>1</v>
      </c>
      <c r="F44" s="4"/>
      <c r="G44" s="4">
        <v>1</v>
      </c>
      <c r="H44">
        <v>3</v>
      </c>
    </row>
    <row r="45" spans="3:8" x14ac:dyDescent="0.55000000000000004">
      <c r="C45" t="s">
        <v>50</v>
      </c>
      <c r="D45" s="4">
        <v>1</v>
      </c>
      <c r="E45" s="4"/>
      <c r="F45" s="4">
        <v>1</v>
      </c>
      <c r="G45" s="4">
        <v>1</v>
      </c>
      <c r="H45">
        <v>3</v>
      </c>
    </row>
    <row r="46" spans="3:8" x14ac:dyDescent="0.55000000000000004">
      <c r="C46" t="s">
        <v>51</v>
      </c>
      <c r="D46" s="4">
        <v>1</v>
      </c>
      <c r="E46" s="4"/>
      <c r="F46" s="4"/>
      <c r="G46" s="4">
        <v>1</v>
      </c>
      <c r="H46">
        <v>2</v>
      </c>
    </row>
    <row r="47" spans="3:8" x14ac:dyDescent="0.55000000000000004">
      <c r="C47" t="s">
        <v>7</v>
      </c>
      <c r="D47" s="4"/>
      <c r="E47" s="4">
        <v>1</v>
      </c>
      <c r="F47" s="4">
        <v>1</v>
      </c>
      <c r="G47" s="4"/>
      <c r="H47">
        <v>2</v>
      </c>
    </row>
    <row r="48" spans="3:8" x14ac:dyDescent="0.55000000000000004">
      <c r="C48" t="s">
        <v>202</v>
      </c>
      <c r="D48" s="4"/>
      <c r="E48" s="4">
        <v>1</v>
      </c>
      <c r="F48" s="4"/>
      <c r="G48" s="4"/>
      <c r="H48">
        <v>1</v>
      </c>
    </row>
    <row r="49" spans="3:8" x14ac:dyDescent="0.55000000000000004">
      <c r="C49" t="s">
        <v>9</v>
      </c>
      <c r="D49" s="4"/>
      <c r="E49" s="4">
        <v>1</v>
      </c>
      <c r="F49" s="4">
        <v>1</v>
      </c>
      <c r="G49" s="4"/>
      <c r="H49">
        <v>2</v>
      </c>
    </row>
    <row r="50" spans="3:8" x14ac:dyDescent="0.55000000000000004">
      <c r="C50" t="s">
        <v>11</v>
      </c>
      <c r="D50" s="4"/>
      <c r="E50" s="4">
        <v>1</v>
      </c>
      <c r="F50" s="4">
        <v>1</v>
      </c>
      <c r="G50" s="4">
        <v>1</v>
      </c>
      <c r="H50">
        <v>3</v>
      </c>
    </row>
    <row r="51" spans="3:8" x14ac:dyDescent="0.55000000000000004">
      <c r="C51" t="s">
        <v>16</v>
      </c>
      <c r="D51" s="4"/>
      <c r="E51" s="4">
        <v>1</v>
      </c>
      <c r="F51" s="4">
        <v>1</v>
      </c>
      <c r="G51" s="4">
        <v>1</v>
      </c>
      <c r="H51">
        <v>3</v>
      </c>
    </row>
    <row r="52" spans="3:8" x14ac:dyDescent="0.55000000000000004">
      <c r="C52" t="s">
        <v>21</v>
      </c>
      <c r="D52" s="4"/>
      <c r="E52" s="4">
        <v>1</v>
      </c>
      <c r="F52" s="4">
        <v>1</v>
      </c>
      <c r="G52" s="4">
        <v>1</v>
      </c>
      <c r="H52">
        <v>3</v>
      </c>
    </row>
    <row r="53" spans="3:8" x14ac:dyDescent="0.55000000000000004">
      <c r="C53" t="s">
        <v>35</v>
      </c>
      <c r="D53" s="4"/>
      <c r="E53" s="4"/>
      <c r="F53" s="4">
        <v>1</v>
      </c>
      <c r="G53" s="4"/>
      <c r="H53">
        <v>1</v>
      </c>
    </row>
    <row r="54" spans="3:8" x14ac:dyDescent="0.55000000000000004">
      <c r="C54" t="s">
        <v>52</v>
      </c>
      <c r="D54" s="4"/>
      <c r="E54" s="4"/>
      <c r="F54" s="4">
        <v>1</v>
      </c>
      <c r="G54" s="4">
        <v>1</v>
      </c>
      <c r="H54">
        <v>2</v>
      </c>
    </row>
    <row r="55" spans="3:8" x14ac:dyDescent="0.55000000000000004">
      <c r="C55" t="s">
        <v>53</v>
      </c>
      <c r="D55" s="4"/>
      <c r="E55" s="4"/>
      <c r="F55" s="4">
        <v>1</v>
      </c>
      <c r="G55" s="4">
        <v>1</v>
      </c>
      <c r="H55">
        <v>2</v>
      </c>
    </row>
  </sheetData>
  <sortState xmlns:xlrd2="http://schemas.microsoft.com/office/spreadsheetml/2017/richdata2" ref="C7:C55">
    <sortCondition ref="C7:C55"/>
  </sortState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Unique_Names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C1:G52"/>
  <sheetViews>
    <sheetView workbookViewId="0">
      <selection activeCell="F6" sqref="F6"/>
    </sheetView>
  </sheetViews>
  <sheetFormatPr defaultRowHeight="14.4" x14ac:dyDescent="0.55000000000000004"/>
  <cols>
    <col min="1" max="2" width="3.578125" customWidth="1"/>
    <col min="3" max="3" width="20.578125" customWidth="1"/>
    <col min="4" max="7" width="10.578125" customWidth="1"/>
    <col min="8" max="8" width="20.578125" customWidth="1"/>
  </cols>
  <sheetData>
    <row r="1" spans="3:7" x14ac:dyDescent="0.55000000000000004">
      <c r="C1" s="8" t="s">
        <v>207</v>
      </c>
    </row>
    <row r="2" spans="3:7" ht="30" customHeight="1" x14ac:dyDescent="0.55000000000000004">
      <c r="C2" t="s">
        <v>201</v>
      </c>
      <c r="D2" s="6" t="s">
        <v>4</v>
      </c>
      <c r="E2" s="6" t="s">
        <v>214</v>
      </c>
      <c r="F2" s="6" t="s">
        <v>205</v>
      </c>
      <c r="G2" s="6" t="s">
        <v>206</v>
      </c>
    </row>
    <row r="3" spans="3:7" x14ac:dyDescent="0.55000000000000004">
      <c r="C3" t="s">
        <v>27</v>
      </c>
      <c r="D3" s="4">
        <f ca="1">COUNTIF(INDIRECT("'"&amp;D$2&amp;"'!B2:B50"),'Use Indirect'!$C3)</f>
        <v>1</v>
      </c>
      <c r="E3" s="4">
        <f ca="1">COUNTIF(INDIRECT("'"&amp;E$2&amp;"'!B2:B50"),'Use Indirect'!$C3)</f>
        <v>1</v>
      </c>
      <c r="F3" s="4">
        <f ca="1">COUNTIF(INDIRECT("'"&amp;F$2&amp;"'!B2:B50"),'Use Indirect'!$C3)</f>
        <v>1</v>
      </c>
      <c r="G3" s="4">
        <f ca="1">COUNTIF(INDIRECT("'"&amp;G$2&amp;"'!B2:B50"),'Use Indirect'!$C3)</f>
        <v>1</v>
      </c>
    </row>
    <row r="4" spans="3:7" x14ac:dyDescent="0.55000000000000004">
      <c r="C4" t="s">
        <v>8</v>
      </c>
      <c r="D4" s="4">
        <f ca="1">COUNTIF(INDIRECT("'"&amp;D$2&amp;"'!B2:B50"),'Use Indirect'!$C4)</f>
        <v>1</v>
      </c>
      <c r="E4" s="4">
        <f ca="1">COUNTIF(INDIRECT("'"&amp;E$2&amp;"'!B2:B50"),'Use Indirect'!$C4)</f>
        <v>0</v>
      </c>
      <c r="F4" s="4">
        <f ca="1">COUNTIF(INDIRECT("'"&amp;F$2&amp;"'!B2:B50"),'Use Indirect'!$C4)</f>
        <v>1</v>
      </c>
      <c r="G4" s="4">
        <f ca="1">COUNTIF(INDIRECT("'"&amp;G$2&amp;"'!B2:B50"),'Use Indirect'!$C4)</f>
        <v>0</v>
      </c>
    </row>
    <row r="5" spans="3:7" x14ac:dyDescent="0.55000000000000004">
      <c r="C5" t="s">
        <v>14</v>
      </c>
      <c r="D5" s="4">
        <f ca="1">COUNTIF(INDIRECT("'"&amp;D$2&amp;"'!B2:B50"),'Use Indirect'!$C5)</f>
        <v>1</v>
      </c>
      <c r="E5" s="4">
        <f ca="1">COUNTIF(INDIRECT("'"&amp;E$2&amp;"'!B2:B50"),'Use Indirect'!$C5)</f>
        <v>1</v>
      </c>
      <c r="F5" s="4">
        <f ca="1">COUNTIF(INDIRECT("'"&amp;F$2&amp;"'!B2:B50"),'Use Indirect'!$C5)</f>
        <v>1</v>
      </c>
      <c r="G5" s="4">
        <f ca="1">COUNTIF(INDIRECT("'"&amp;G$2&amp;"'!B2:B50"),'Use Indirect'!$C5)</f>
        <v>1</v>
      </c>
    </row>
    <row r="6" spans="3:7" x14ac:dyDescent="0.55000000000000004">
      <c r="C6" t="s">
        <v>22</v>
      </c>
      <c r="D6" s="4">
        <f ca="1">COUNTIF(INDIRECT("'"&amp;D$2&amp;"'!B2:B50"),'Use Indirect'!$C6)</f>
        <v>1</v>
      </c>
      <c r="E6" s="4">
        <f ca="1">COUNTIF(INDIRECT("'"&amp;E$2&amp;"'!B2:B50"),'Use Indirect'!$C6)</f>
        <v>1</v>
      </c>
      <c r="F6" s="4">
        <f ca="1">COUNTIF(INDIRECT("'"&amp;F$2&amp;"'!B2:B50"),'Use Indirect'!$C6)</f>
        <v>1</v>
      </c>
      <c r="G6" s="4">
        <f ca="1">COUNTIF(INDIRECT("'"&amp;G$2&amp;"'!B2:B50"),'Use Indirect'!$C6)</f>
        <v>1</v>
      </c>
    </row>
    <row r="7" spans="3:7" x14ac:dyDescent="0.55000000000000004">
      <c r="C7" t="s">
        <v>40</v>
      </c>
      <c r="D7" s="4">
        <f ca="1">COUNTIF(INDIRECT("'"&amp;D$2&amp;"'!B2:B50"),'Use Indirect'!$C7)</f>
        <v>1</v>
      </c>
      <c r="E7" s="4">
        <f ca="1">COUNTIF(INDIRECT("'"&amp;E$2&amp;"'!B2:B50"),'Use Indirect'!$C7)</f>
        <v>0</v>
      </c>
      <c r="F7" s="4">
        <f ca="1">COUNTIF(INDIRECT("'"&amp;F$2&amp;"'!B2:B50"),'Use Indirect'!$C7)</f>
        <v>1</v>
      </c>
      <c r="G7" s="4">
        <f ca="1">COUNTIF(INDIRECT("'"&amp;G$2&amp;"'!B2:B50"),'Use Indirect'!$C7)</f>
        <v>1</v>
      </c>
    </row>
    <row r="8" spans="3:7" x14ac:dyDescent="0.55000000000000004">
      <c r="C8" t="s">
        <v>48</v>
      </c>
      <c r="D8" s="4">
        <f ca="1">COUNTIF(INDIRECT("'"&amp;D$2&amp;"'!B2:B50"),'Use Indirect'!$C8)</f>
        <v>1</v>
      </c>
      <c r="E8" s="4">
        <f ca="1">COUNTIF(INDIRECT("'"&amp;E$2&amp;"'!B2:B50"),'Use Indirect'!$C8)</f>
        <v>0</v>
      </c>
      <c r="F8" s="4">
        <f ca="1">COUNTIF(INDIRECT("'"&amp;F$2&amp;"'!B2:B50"),'Use Indirect'!$C8)</f>
        <v>0</v>
      </c>
      <c r="G8" s="4">
        <f ca="1">COUNTIF(INDIRECT("'"&amp;G$2&amp;"'!B2:B50"),'Use Indirect'!$C8)</f>
        <v>1</v>
      </c>
    </row>
    <row r="9" spans="3:7" x14ac:dyDescent="0.55000000000000004">
      <c r="C9" t="s">
        <v>38</v>
      </c>
      <c r="D9" s="4">
        <f ca="1">COUNTIF(INDIRECT("'"&amp;D$2&amp;"'!B2:B50"),'Use Indirect'!$C9)</f>
        <v>1</v>
      </c>
      <c r="E9" s="4">
        <f ca="1">COUNTIF(INDIRECT("'"&amp;E$2&amp;"'!B2:B50"),'Use Indirect'!$C9)</f>
        <v>0</v>
      </c>
      <c r="F9" s="4">
        <f ca="1">COUNTIF(INDIRECT("'"&amp;F$2&amp;"'!B2:B50"),'Use Indirect'!$C9)</f>
        <v>1</v>
      </c>
      <c r="G9" s="4">
        <f ca="1">COUNTIF(INDIRECT("'"&amp;G$2&amp;"'!B2:B50"),'Use Indirect'!$C9)</f>
        <v>1</v>
      </c>
    </row>
    <row r="10" spans="3:7" x14ac:dyDescent="0.55000000000000004">
      <c r="C10" t="s">
        <v>50</v>
      </c>
      <c r="D10" s="4">
        <f ca="1">COUNTIF(INDIRECT("'"&amp;D$2&amp;"'!B2:B50"),'Use Indirect'!$C10)</f>
        <v>1</v>
      </c>
      <c r="E10" s="4">
        <f ca="1">COUNTIF(INDIRECT("'"&amp;E$2&amp;"'!B2:B50"),'Use Indirect'!$C10)</f>
        <v>0</v>
      </c>
      <c r="F10" s="4">
        <f ca="1">COUNTIF(INDIRECT("'"&amp;F$2&amp;"'!B2:B50"),'Use Indirect'!$C10)</f>
        <v>1</v>
      </c>
      <c r="G10" s="4">
        <f ca="1">COUNTIF(INDIRECT("'"&amp;G$2&amp;"'!B2:B50"),'Use Indirect'!$C10)</f>
        <v>1</v>
      </c>
    </row>
    <row r="11" spans="3:7" x14ac:dyDescent="0.55000000000000004">
      <c r="C11" t="s">
        <v>13</v>
      </c>
      <c r="D11" s="4">
        <f ca="1">COUNTIF(INDIRECT("'"&amp;D$2&amp;"'!B2:B50"),'Use Indirect'!$C11)</f>
        <v>1</v>
      </c>
      <c r="E11" s="4">
        <f ca="1">COUNTIF(INDIRECT("'"&amp;E$2&amp;"'!B2:B50"),'Use Indirect'!$C11)</f>
        <v>1</v>
      </c>
      <c r="F11" s="4">
        <f ca="1">COUNTIF(INDIRECT("'"&amp;F$2&amp;"'!B2:B50"),'Use Indirect'!$C11)</f>
        <v>1</v>
      </c>
      <c r="G11" s="4">
        <f ca="1">COUNTIF(INDIRECT("'"&amp;G$2&amp;"'!B2:B50"),'Use Indirect'!$C11)</f>
        <v>1</v>
      </c>
    </row>
    <row r="12" spans="3:7" x14ac:dyDescent="0.55000000000000004">
      <c r="C12" t="s">
        <v>16</v>
      </c>
      <c r="D12" s="4">
        <f ca="1">COUNTIF(INDIRECT("'"&amp;D$2&amp;"'!B2:B50"),'Use Indirect'!$C12)</f>
        <v>0</v>
      </c>
      <c r="E12" s="4">
        <f ca="1">COUNTIF(INDIRECT("'"&amp;E$2&amp;"'!B2:B50"),'Use Indirect'!$C12)</f>
        <v>1</v>
      </c>
      <c r="F12" s="4">
        <f ca="1">COUNTIF(INDIRECT("'"&amp;F$2&amp;"'!B2:B50"),'Use Indirect'!$C12)</f>
        <v>1</v>
      </c>
      <c r="G12" s="4">
        <f ca="1">COUNTIF(INDIRECT("'"&amp;G$2&amp;"'!B2:B50"),'Use Indirect'!$C12)</f>
        <v>1</v>
      </c>
    </row>
    <row r="13" spans="3:7" x14ac:dyDescent="0.55000000000000004">
      <c r="C13" t="s">
        <v>43</v>
      </c>
      <c r="D13" s="4">
        <f ca="1">COUNTIF(INDIRECT("'"&amp;D$2&amp;"'!B2:B50"),'Use Indirect'!$C13)</f>
        <v>1</v>
      </c>
      <c r="E13" s="4">
        <f ca="1">COUNTIF(INDIRECT("'"&amp;E$2&amp;"'!B2:B50"),'Use Indirect'!$C13)</f>
        <v>0</v>
      </c>
      <c r="F13" s="4">
        <f ca="1">COUNTIF(INDIRECT("'"&amp;F$2&amp;"'!B2:B50"),'Use Indirect'!$C13)</f>
        <v>0</v>
      </c>
      <c r="G13" s="4">
        <f ca="1">COUNTIF(INDIRECT("'"&amp;G$2&amp;"'!B2:B50"),'Use Indirect'!$C13)</f>
        <v>1</v>
      </c>
    </row>
    <row r="14" spans="3:7" x14ac:dyDescent="0.55000000000000004">
      <c r="C14" t="s">
        <v>36</v>
      </c>
      <c r="D14" s="4">
        <f ca="1">COUNTIF(INDIRECT("'"&amp;D$2&amp;"'!B2:B50"),'Use Indirect'!$C14)</f>
        <v>1</v>
      </c>
      <c r="E14" s="4">
        <f ca="1">COUNTIF(INDIRECT("'"&amp;E$2&amp;"'!B2:B50"),'Use Indirect'!$C14)</f>
        <v>0</v>
      </c>
      <c r="F14" s="4">
        <f ca="1">COUNTIF(INDIRECT("'"&amp;F$2&amp;"'!B2:B50"),'Use Indirect'!$C14)</f>
        <v>1</v>
      </c>
      <c r="G14" s="4">
        <f ca="1">COUNTIF(INDIRECT("'"&amp;G$2&amp;"'!B2:B50"),'Use Indirect'!$C14)</f>
        <v>1</v>
      </c>
    </row>
    <row r="15" spans="3:7" x14ac:dyDescent="0.55000000000000004">
      <c r="C15" t="s">
        <v>11</v>
      </c>
      <c r="D15" s="4">
        <f ca="1">COUNTIF(INDIRECT("'"&amp;D$2&amp;"'!B2:B50"),'Use Indirect'!$C15)</f>
        <v>0</v>
      </c>
      <c r="E15" s="4">
        <f ca="1">COUNTIF(INDIRECT("'"&amp;E$2&amp;"'!B2:B50"),'Use Indirect'!$C15)</f>
        <v>1</v>
      </c>
      <c r="F15" s="4">
        <f ca="1">COUNTIF(INDIRECT("'"&amp;F$2&amp;"'!B2:B50"),'Use Indirect'!$C15)</f>
        <v>1</v>
      </c>
      <c r="G15" s="4">
        <f ca="1">COUNTIF(INDIRECT("'"&amp;G$2&amp;"'!B2:B50"),'Use Indirect'!$C15)</f>
        <v>1</v>
      </c>
    </row>
    <row r="16" spans="3:7" x14ac:dyDescent="0.55000000000000004">
      <c r="C16" t="s">
        <v>17</v>
      </c>
      <c r="D16" s="4">
        <f ca="1">COUNTIF(INDIRECT("'"&amp;D$2&amp;"'!B2:B50"),'Use Indirect'!$C16)</f>
        <v>1</v>
      </c>
      <c r="E16" s="4">
        <f ca="1">COUNTIF(INDIRECT("'"&amp;E$2&amp;"'!B2:B50"),'Use Indirect'!$C16)</f>
        <v>1</v>
      </c>
      <c r="F16" s="4">
        <f ca="1">COUNTIF(INDIRECT("'"&amp;F$2&amp;"'!B2:B50"),'Use Indirect'!$C16)</f>
        <v>1</v>
      </c>
      <c r="G16" s="4">
        <f ca="1">COUNTIF(INDIRECT("'"&amp;G$2&amp;"'!B2:B50"),'Use Indirect'!$C16)</f>
        <v>0</v>
      </c>
    </row>
    <row r="17" spans="3:7" x14ac:dyDescent="0.55000000000000004">
      <c r="C17" t="s">
        <v>25</v>
      </c>
      <c r="D17" s="4">
        <f ca="1">COUNTIF(INDIRECT("'"&amp;D$2&amp;"'!B2:B50"),'Use Indirect'!$C17)</f>
        <v>1</v>
      </c>
      <c r="E17" s="4">
        <f ca="1">COUNTIF(INDIRECT("'"&amp;E$2&amp;"'!B2:B50"),'Use Indirect'!$C17)</f>
        <v>1</v>
      </c>
      <c r="F17" s="4">
        <f ca="1">COUNTIF(INDIRECT("'"&amp;F$2&amp;"'!B2:B50"),'Use Indirect'!$C17)</f>
        <v>1</v>
      </c>
      <c r="G17" s="4">
        <f ca="1">COUNTIF(INDIRECT("'"&amp;G$2&amp;"'!B2:B50"),'Use Indirect'!$C17)</f>
        <v>1</v>
      </c>
    </row>
    <row r="18" spans="3:7" x14ac:dyDescent="0.55000000000000004">
      <c r="C18" t="s">
        <v>37</v>
      </c>
      <c r="D18" s="4">
        <f ca="1">COUNTIF(INDIRECT("'"&amp;D$2&amp;"'!B2:B50"),'Use Indirect'!$C18)</f>
        <v>1</v>
      </c>
      <c r="E18" s="4">
        <f ca="1">COUNTIF(INDIRECT("'"&amp;E$2&amp;"'!B2:B50"),'Use Indirect'!$C18)</f>
        <v>0</v>
      </c>
      <c r="F18" s="4">
        <f ca="1">COUNTIF(INDIRECT("'"&amp;F$2&amp;"'!B2:B50"),'Use Indirect'!$C18)</f>
        <v>1</v>
      </c>
      <c r="G18" s="4">
        <f ca="1">COUNTIF(INDIRECT("'"&amp;G$2&amp;"'!B2:B50"),'Use Indirect'!$C18)</f>
        <v>1</v>
      </c>
    </row>
    <row r="19" spans="3:7" x14ac:dyDescent="0.55000000000000004">
      <c r="C19" t="s">
        <v>46</v>
      </c>
      <c r="D19" s="4">
        <f ca="1">COUNTIF(INDIRECT("'"&amp;D$2&amp;"'!B2:B50"),'Use Indirect'!$C19)</f>
        <v>1</v>
      </c>
      <c r="E19" s="4">
        <f ca="1">COUNTIF(INDIRECT("'"&amp;E$2&amp;"'!B2:B50"),'Use Indirect'!$C19)</f>
        <v>0</v>
      </c>
      <c r="F19" s="4">
        <f ca="1">COUNTIF(INDIRECT("'"&amp;F$2&amp;"'!B2:B50"),'Use Indirect'!$C19)</f>
        <v>1</v>
      </c>
      <c r="G19" s="4">
        <f ca="1">COUNTIF(INDIRECT("'"&amp;G$2&amp;"'!B2:B50"),'Use Indirect'!$C19)</f>
        <v>1</v>
      </c>
    </row>
    <row r="20" spans="3:7" x14ac:dyDescent="0.55000000000000004">
      <c r="C20" t="s">
        <v>52</v>
      </c>
      <c r="D20" s="4">
        <f ca="1">COUNTIF(INDIRECT("'"&amp;D$2&amp;"'!B2:B50"),'Use Indirect'!$C20)</f>
        <v>0</v>
      </c>
      <c r="E20" s="4">
        <f ca="1">COUNTIF(INDIRECT("'"&amp;E$2&amp;"'!B2:B50"),'Use Indirect'!$C20)</f>
        <v>0</v>
      </c>
      <c r="F20" s="4">
        <f ca="1">COUNTIF(INDIRECT("'"&amp;F$2&amp;"'!B2:B50"),'Use Indirect'!$C20)</f>
        <v>1</v>
      </c>
      <c r="G20" s="4">
        <f ca="1">COUNTIF(INDIRECT("'"&amp;G$2&amp;"'!B2:B50"),'Use Indirect'!$C20)</f>
        <v>1</v>
      </c>
    </row>
    <row r="21" spans="3:7" x14ac:dyDescent="0.55000000000000004">
      <c r="C21" t="s">
        <v>35</v>
      </c>
      <c r="D21" s="4">
        <f ca="1">COUNTIF(INDIRECT("'"&amp;D$2&amp;"'!B2:B50"),'Use Indirect'!$C21)</f>
        <v>0</v>
      </c>
      <c r="E21" s="4">
        <f ca="1">COUNTIF(INDIRECT("'"&amp;E$2&amp;"'!B2:B50"),'Use Indirect'!$C21)</f>
        <v>0</v>
      </c>
      <c r="F21" s="4">
        <f ca="1">COUNTIF(INDIRECT("'"&amp;F$2&amp;"'!B2:B50"),'Use Indirect'!$C21)</f>
        <v>1</v>
      </c>
      <c r="G21" s="4">
        <f ca="1">COUNTIF(INDIRECT("'"&amp;G$2&amp;"'!B2:B50"),'Use Indirect'!$C21)</f>
        <v>0</v>
      </c>
    </row>
    <row r="22" spans="3:7" x14ac:dyDescent="0.55000000000000004">
      <c r="C22" t="s">
        <v>19</v>
      </c>
      <c r="D22" s="4">
        <f ca="1">COUNTIF(INDIRECT("'"&amp;D$2&amp;"'!B2:B50"),'Use Indirect'!$C22)</f>
        <v>1</v>
      </c>
      <c r="E22" s="4">
        <f ca="1">COUNTIF(INDIRECT("'"&amp;E$2&amp;"'!B2:B50"),'Use Indirect'!$C22)</f>
        <v>1</v>
      </c>
      <c r="F22" s="4">
        <f ca="1">COUNTIF(INDIRECT("'"&amp;F$2&amp;"'!B2:B50"),'Use Indirect'!$C22)</f>
        <v>1</v>
      </c>
      <c r="G22" s="4">
        <f ca="1">COUNTIF(INDIRECT("'"&amp;G$2&amp;"'!B2:B50"),'Use Indirect'!$C22)</f>
        <v>1</v>
      </c>
    </row>
    <row r="23" spans="3:7" x14ac:dyDescent="0.55000000000000004">
      <c r="C23" t="s">
        <v>20</v>
      </c>
      <c r="D23" s="4">
        <f ca="1">COUNTIF(INDIRECT("'"&amp;D$2&amp;"'!B2:B50"),'Use Indirect'!$C23)</f>
        <v>1</v>
      </c>
      <c r="E23" s="4">
        <f ca="1">COUNTIF(INDIRECT("'"&amp;E$2&amp;"'!B2:B50"),'Use Indirect'!$C23)</f>
        <v>1</v>
      </c>
      <c r="F23" s="4">
        <f ca="1">COUNTIF(INDIRECT("'"&amp;F$2&amp;"'!B2:B50"),'Use Indirect'!$C23)</f>
        <v>1</v>
      </c>
      <c r="G23" s="4">
        <f ca="1">COUNTIF(INDIRECT("'"&amp;G$2&amp;"'!B2:B50"),'Use Indirect'!$C23)</f>
        <v>1</v>
      </c>
    </row>
    <row r="24" spans="3:7" x14ac:dyDescent="0.55000000000000004">
      <c r="C24" t="s">
        <v>10</v>
      </c>
      <c r="D24" s="4">
        <f ca="1">COUNTIF(INDIRECT("'"&amp;D$2&amp;"'!B2:B50"),'Use Indirect'!$C24)</f>
        <v>1</v>
      </c>
      <c r="E24" s="4">
        <f ca="1">COUNTIF(INDIRECT("'"&amp;E$2&amp;"'!B2:B50"),'Use Indirect'!$C24)</f>
        <v>1</v>
      </c>
      <c r="F24" s="4">
        <f ca="1">COUNTIF(INDIRECT("'"&amp;F$2&amp;"'!B2:B50"),'Use Indirect'!$C24)</f>
        <v>1</v>
      </c>
      <c r="G24" s="4">
        <f ca="1">COUNTIF(INDIRECT("'"&amp;G$2&amp;"'!B2:B50"),'Use Indirect'!$C24)</f>
        <v>0</v>
      </c>
    </row>
    <row r="25" spans="3:7" x14ac:dyDescent="0.55000000000000004">
      <c r="C25" t="s">
        <v>24</v>
      </c>
      <c r="D25" s="4">
        <f ca="1">COUNTIF(INDIRECT("'"&amp;D$2&amp;"'!B2:B50"),'Use Indirect'!$C25)</f>
        <v>1</v>
      </c>
      <c r="E25" s="4">
        <f ca="1">COUNTIF(INDIRECT("'"&amp;E$2&amp;"'!B2:B50"),'Use Indirect'!$C25)</f>
        <v>1</v>
      </c>
      <c r="F25" s="4">
        <f ca="1">COUNTIF(INDIRECT("'"&amp;F$2&amp;"'!B2:B50"),'Use Indirect'!$C25)</f>
        <v>1</v>
      </c>
      <c r="G25" s="4">
        <f ca="1">COUNTIF(INDIRECT("'"&amp;G$2&amp;"'!B2:B50"),'Use Indirect'!$C25)</f>
        <v>1</v>
      </c>
    </row>
    <row r="26" spans="3:7" x14ac:dyDescent="0.55000000000000004">
      <c r="C26" t="s">
        <v>26</v>
      </c>
      <c r="D26" s="4">
        <f ca="1">COUNTIF(INDIRECT("'"&amp;D$2&amp;"'!B2:B50"),'Use Indirect'!$C26)</f>
        <v>1</v>
      </c>
      <c r="E26" s="4">
        <f ca="1">COUNTIF(INDIRECT("'"&amp;E$2&amp;"'!B2:B50"),'Use Indirect'!$C26)</f>
        <v>1</v>
      </c>
      <c r="F26" s="4">
        <f ca="1">COUNTIF(INDIRECT("'"&amp;F$2&amp;"'!B2:B50"),'Use Indirect'!$C26)</f>
        <v>1</v>
      </c>
      <c r="G26" s="4">
        <f ca="1">COUNTIF(INDIRECT("'"&amp;G$2&amp;"'!B2:B50"),'Use Indirect'!$C26)</f>
        <v>1</v>
      </c>
    </row>
    <row r="27" spans="3:7" x14ac:dyDescent="0.55000000000000004">
      <c r="C27" t="s">
        <v>202</v>
      </c>
      <c r="D27" s="4">
        <f ca="1">COUNTIF(INDIRECT("'"&amp;D$2&amp;"'!B2:B50"),'Use Indirect'!$C27)</f>
        <v>0</v>
      </c>
      <c r="E27" s="4">
        <f ca="1">COUNTIF(INDIRECT("'"&amp;E$2&amp;"'!B2:B50"),'Use Indirect'!$C27)</f>
        <v>1</v>
      </c>
      <c r="F27" s="4">
        <f ca="1">COUNTIF(INDIRECT("'"&amp;F$2&amp;"'!B2:B50"),'Use Indirect'!$C27)</f>
        <v>0</v>
      </c>
      <c r="G27" s="4">
        <f ca="1">COUNTIF(INDIRECT("'"&amp;G$2&amp;"'!B2:B50"),'Use Indirect'!$C27)</f>
        <v>0</v>
      </c>
    </row>
    <row r="28" spans="3:7" x14ac:dyDescent="0.55000000000000004">
      <c r="C28" t="s">
        <v>30</v>
      </c>
      <c r="D28" s="4">
        <f ca="1">COUNTIF(INDIRECT("'"&amp;D$2&amp;"'!B2:B50"),'Use Indirect'!$C28)</f>
        <v>1</v>
      </c>
      <c r="E28" s="4">
        <f ca="1">COUNTIF(INDIRECT("'"&amp;E$2&amp;"'!B2:B50"),'Use Indirect'!$C28)</f>
        <v>1</v>
      </c>
      <c r="F28" s="4">
        <f ca="1">COUNTIF(INDIRECT("'"&amp;F$2&amp;"'!B2:B50"),'Use Indirect'!$C28)</f>
        <v>0</v>
      </c>
      <c r="G28" s="4">
        <f ca="1">COUNTIF(INDIRECT("'"&amp;G$2&amp;"'!B2:B50"),'Use Indirect'!$C28)</f>
        <v>1</v>
      </c>
    </row>
    <row r="29" spans="3:7" x14ac:dyDescent="0.55000000000000004">
      <c r="C29" t="s">
        <v>7</v>
      </c>
      <c r="D29" s="4">
        <f ca="1">COUNTIF(INDIRECT("'"&amp;D$2&amp;"'!B2:B50"),'Use Indirect'!$C29)</f>
        <v>0</v>
      </c>
      <c r="E29" s="4">
        <f ca="1">COUNTIF(INDIRECT("'"&amp;E$2&amp;"'!B2:B50"),'Use Indirect'!$C29)</f>
        <v>1</v>
      </c>
      <c r="F29" s="4">
        <f ca="1">COUNTIF(INDIRECT("'"&amp;F$2&amp;"'!B2:B50"),'Use Indirect'!$C29)</f>
        <v>1</v>
      </c>
      <c r="G29" s="4">
        <f ca="1">COUNTIF(INDIRECT("'"&amp;G$2&amp;"'!B2:B50"),'Use Indirect'!$C29)</f>
        <v>0</v>
      </c>
    </row>
    <row r="30" spans="3:7" x14ac:dyDescent="0.55000000000000004">
      <c r="C30" t="s">
        <v>31</v>
      </c>
      <c r="D30" s="4">
        <f ca="1">COUNTIF(INDIRECT("'"&amp;D$2&amp;"'!B2:B50"),'Use Indirect'!$C30)</f>
        <v>1</v>
      </c>
      <c r="E30" s="4">
        <f ca="1">COUNTIF(INDIRECT("'"&amp;E$2&amp;"'!B2:B50"),'Use Indirect'!$C30)</f>
        <v>1</v>
      </c>
      <c r="F30" s="4">
        <f ca="1">COUNTIF(INDIRECT("'"&amp;F$2&amp;"'!B2:B50"),'Use Indirect'!$C30)</f>
        <v>1</v>
      </c>
      <c r="G30" s="4">
        <f ca="1">COUNTIF(INDIRECT("'"&amp;G$2&amp;"'!B2:B50"),'Use Indirect'!$C30)</f>
        <v>1</v>
      </c>
    </row>
    <row r="31" spans="3:7" x14ac:dyDescent="0.55000000000000004">
      <c r="C31" t="s">
        <v>18</v>
      </c>
      <c r="D31" s="4">
        <f ca="1">COUNTIF(INDIRECT("'"&amp;D$2&amp;"'!B2:B50"),'Use Indirect'!$C31)</f>
        <v>1</v>
      </c>
      <c r="E31" s="4">
        <f ca="1">COUNTIF(INDIRECT("'"&amp;E$2&amp;"'!B2:B50"),'Use Indirect'!$C31)</f>
        <v>1</v>
      </c>
      <c r="F31" s="4">
        <f ca="1">COUNTIF(INDIRECT("'"&amp;F$2&amp;"'!B2:B50"),'Use Indirect'!$C31)</f>
        <v>1</v>
      </c>
      <c r="G31" s="4">
        <f ca="1">COUNTIF(INDIRECT("'"&amp;G$2&amp;"'!B2:B50"),'Use Indirect'!$C31)</f>
        <v>1</v>
      </c>
    </row>
    <row r="32" spans="3:7" x14ac:dyDescent="0.55000000000000004">
      <c r="C32" t="s">
        <v>203</v>
      </c>
      <c r="D32" s="4">
        <f ca="1">COUNTIF(INDIRECT("'"&amp;D$2&amp;"'!B2:B50"),'Use Indirect'!$C32)</f>
        <v>1</v>
      </c>
      <c r="E32" s="4">
        <f ca="1">COUNTIF(INDIRECT("'"&amp;E$2&amp;"'!B2:B50"),'Use Indirect'!$C32)</f>
        <v>0</v>
      </c>
      <c r="F32" s="4">
        <f ca="1">COUNTIF(INDIRECT("'"&amp;F$2&amp;"'!B2:B50"),'Use Indirect'!$C32)</f>
        <v>0</v>
      </c>
      <c r="G32" s="4">
        <f ca="1">COUNTIF(INDIRECT("'"&amp;G$2&amp;"'!B2:B50"),'Use Indirect'!$C32)</f>
        <v>1</v>
      </c>
    </row>
    <row r="33" spans="3:7" x14ac:dyDescent="0.55000000000000004">
      <c r="C33" t="s">
        <v>47</v>
      </c>
      <c r="D33" s="4">
        <f ca="1">COUNTIF(INDIRECT("'"&amp;D$2&amp;"'!B2:B50"),'Use Indirect'!$C33)</f>
        <v>1</v>
      </c>
      <c r="E33" s="4">
        <f ca="1">COUNTIF(INDIRECT("'"&amp;E$2&amp;"'!B2:B50"),'Use Indirect'!$C33)</f>
        <v>0</v>
      </c>
      <c r="F33" s="4">
        <f ca="1">COUNTIF(INDIRECT("'"&amp;F$2&amp;"'!B2:B50"),'Use Indirect'!$C33)</f>
        <v>0</v>
      </c>
      <c r="G33" s="4">
        <f ca="1">COUNTIF(INDIRECT("'"&amp;G$2&amp;"'!B2:B50"),'Use Indirect'!$C33)</f>
        <v>1</v>
      </c>
    </row>
    <row r="34" spans="3:7" x14ac:dyDescent="0.55000000000000004">
      <c r="C34" t="s">
        <v>53</v>
      </c>
      <c r="D34" s="4">
        <f ca="1">COUNTIF(INDIRECT("'"&amp;D$2&amp;"'!B2:B50"),'Use Indirect'!$C34)</f>
        <v>0</v>
      </c>
      <c r="E34" s="4">
        <f ca="1">COUNTIF(INDIRECT("'"&amp;E$2&amp;"'!B2:B50"),'Use Indirect'!$C34)</f>
        <v>0</v>
      </c>
      <c r="F34" s="4">
        <f ca="1">COUNTIF(INDIRECT("'"&amp;F$2&amp;"'!B2:B50"),'Use Indirect'!$C34)</f>
        <v>1</v>
      </c>
      <c r="G34" s="4">
        <f ca="1">COUNTIF(INDIRECT("'"&amp;G$2&amp;"'!B2:B50"),'Use Indirect'!$C34)</f>
        <v>1</v>
      </c>
    </row>
    <row r="35" spans="3:7" x14ac:dyDescent="0.55000000000000004">
      <c r="C35" t="s">
        <v>32</v>
      </c>
      <c r="D35" s="4">
        <f ca="1">COUNTIF(INDIRECT("'"&amp;D$2&amp;"'!B2:B50"),'Use Indirect'!$C35)</f>
        <v>1</v>
      </c>
      <c r="E35" s="4">
        <f ca="1">COUNTIF(INDIRECT("'"&amp;E$2&amp;"'!B2:B50"),'Use Indirect'!$C35)</f>
        <v>1</v>
      </c>
      <c r="F35" s="4">
        <f ca="1">COUNTIF(INDIRECT("'"&amp;F$2&amp;"'!B2:B50"),'Use Indirect'!$C35)</f>
        <v>0</v>
      </c>
      <c r="G35" s="4">
        <f ca="1">COUNTIF(INDIRECT("'"&amp;G$2&amp;"'!B2:B50"),'Use Indirect'!$C35)</f>
        <v>1</v>
      </c>
    </row>
    <row r="36" spans="3:7" x14ac:dyDescent="0.55000000000000004">
      <c r="C36" t="s">
        <v>15</v>
      </c>
      <c r="D36" s="4">
        <f ca="1">COUNTIF(INDIRECT("'"&amp;D$2&amp;"'!B2:B50"),'Use Indirect'!$C36)</f>
        <v>1</v>
      </c>
      <c r="E36" s="4">
        <f ca="1">COUNTIF(INDIRECT("'"&amp;E$2&amp;"'!B2:B50"),'Use Indirect'!$C36)</f>
        <v>1</v>
      </c>
      <c r="F36" s="4">
        <f ca="1">COUNTIF(INDIRECT("'"&amp;F$2&amp;"'!B2:B50"),'Use Indirect'!$C36)</f>
        <v>1</v>
      </c>
      <c r="G36" s="4">
        <f ca="1">COUNTIF(INDIRECT("'"&amp;G$2&amp;"'!B2:B50"),'Use Indirect'!$C36)</f>
        <v>0</v>
      </c>
    </row>
    <row r="37" spans="3:7" x14ac:dyDescent="0.55000000000000004">
      <c r="C37" t="s">
        <v>45</v>
      </c>
      <c r="D37" s="4">
        <f ca="1">COUNTIF(INDIRECT("'"&amp;D$2&amp;"'!B2:B50"),'Use Indirect'!$C37)</f>
        <v>1</v>
      </c>
      <c r="E37" s="4">
        <f ca="1">COUNTIF(INDIRECT("'"&amp;E$2&amp;"'!B2:B50"),'Use Indirect'!$C37)</f>
        <v>0</v>
      </c>
      <c r="F37" s="4">
        <f ca="1">COUNTIF(INDIRECT("'"&amp;F$2&amp;"'!B2:B50"),'Use Indirect'!$C37)</f>
        <v>1</v>
      </c>
      <c r="G37" s="4">
        <f ca="1">COUNTIF(INDIRECT("'"&amp;G$2&amp;"'!B2:B50"),'Use Indirect'!$C37)</f>
        <v>1</v>
      </c>
    </row>
    <row r="38" spans="3:7" x14ac:dyDescent="0.55000000000000004">
      <c r="C38" t="s">
        <v>23</v>
      </c>
      <c r="D38" s="4">
        <f ca="1">COUNTIF(INDIRECT("'"&amp;D$2&amp;"'!B2:B50"),'Use Indirect'!$C38)</f>
        <v>1</v>
      </c>
      <c r="E38" s="4">
        <f ca="1">COUNTIF(INDIRECT("'"&amp;E$2&amp;"'!B2:B50"),'Use Indirect'!$C38)</f>
        <v>1</v>
      </c>
      <c r="F38" s="4">
        <f ca="1">COUNTIF(INDIRECT("'"&amp;F$2&amp;"'!B2:B50"),'Use Indirect'!$C38)</f>
        <v>1</v>
      </c>
      <c r="G38" s="4">
        <f ca="1">COUNTIF(INDIRECT("'"&amp;G$2&amp;"'!B2:B50"),'Use Indirect'!$C38)</f>
        <v>1</v>
      </c>
    </row>
    <row r="39" spans="3:7" x14ac:dyDescent="0.55000000000000004">
      <c r="C39" t="s">
        <v>41</v>
      </c>
      <c r="D39" s="4">
        <f ca="1">COUNTIF(INDIRECT("'"&amp;D$2&amp;"'!B2:B50"),'Use Indirect'!$C39)</f>
        <v>1</v>
      </c>
      <c r="E39" s="4">
        <f ca="1">COUNTIF(INDIRECT("'"&amp;E$2&amp;"'!B2:B50"),'Use Indirect'!$C39)</f>
        <v>0</v>
      </c>
      <c r="F39" s="4">
        <f ca="1">COUNTIF(INDIRECT("'"&amp;F$2&amp;"'!B2:B50"),'Use Indirect'!$C39)</f>
        <v>1</v>
      </c>
      <c r="G39" s="4">
        <f ca="1">COUNTIF(INDIRECT("'"&amp;G$2&amp;"'!B2:B50"),'Use Indirect'!$C39)</f>
        <v>0</v>
      </c>
    </row>
    <row r="40" spans="3:7" x14ac:dyDescent="0.55000000000000004">
      <c r="C40" t="s">
        <v>49</v>
      </c>
      <c r="D40" s="4">
        <f ca="1">COUNTIF(INDIRECT("'"&amp;D$2&amp;"'!B2:B50"),'Use Indirect'!$C40)</f>
        <v>1</v>
      </c>
      <c r="E40" s="4">
        <f ca="1">COUNTIF(INDIRECT("'"&amp;E$2&amp;"'!B2:B50"),'Use Indirect'!$C40)</f>
        <v>0</v>
      </c>
      <c r="F40" s="4">
        <f ca="1">COUNTIF(INDIRECT("'"&amp;F$2&amp;"'!B2:B50"),'Use Indirect'!$C40)</f>
        <v>1</v>
      </c>
      <c r="G40" s="4">
        <f ca="1">COUNTIF(INDIRECT("'"&amp;G$2&amp;"'!B2:B50"),'Use Indirect'!$C40)</f>
        <v>1</v>
      </c>
    </row>
    <row r="41" spans="3:7" x14ac:dyDescent="0.55000000000000004">
      <c r="C41" t="s">
        <v>12</v>
      </c>
      <c r="D41" s="4">
        <f ca="1">COUNTIF(INDIRECT("'"&amp;D$2&amp;"'!B2:B50"),'Use Indirect'!$C41)</f>
        <v>1</v>
      </c>
      <c r="E41" s="4">
        <f ca="1">COUNTIF(INDIRECT("'"&amp;E$2&amp;"'!B2:B50"),'Use Indirect'!$C41)</f>
        <v>1</v>
      </c>
      <c r="F41" s="4">
        <f ca="1">COUNTIF(INDIRECT("'"&amp;F$2&amp;"'!B2:B50"),'Use Indirect'!$C41)</f>
        <v>1</v>
      </c>
      <c r="G41" s="4">
        <f ca="1">COUNTIF(INDIRECT("'"&amp;G$2&amp;"'!B2:B50"),'Use Indirect'!$C41)</f>
        <v>1</v>
      </c>
    </row>
    <row r="42" spans="3:7" x14ac:dyDescent="0.55000000000000004">
      <c r="C42" t="s">
        <v>28</v>
      </c>
      <c r="D42" s="4">
        <f ca="1">COUNTIF(INDIRECT("'"&amp;D$2&amp;"'!B2:B50"),'Use Indirect'!$C42)</f>
        <v>1</v>
      </c>
      <c r="E42" s="4">
        <f ca="1">COUNTIF(INDIRECT("'"&amp;E$2&amp;"'!B2:B50"),'Use Indirect'!$C42)</f>
        <v>1</v>
      </c>
      <c r="F42" s="4">
        <f ca="1">COUNTIF(INDIRECT("'"&amp;F$2&amp;"'!B2:B50"),'Use Indirect'!$C42)</f>
        <v>0</v>
      </c>
      <c r="G42" s="4">
        <f ca="1">COUNTIF(INDIRECT("'"&amp;G$2&amp;"'!B2:B50"),'Use Indirect'!$C42)</f>
        <v>1</v>
      </c>
    </row>
    <row r="43" spans="3:7" x14ac:dyDescent="0.55000000000000004">
      <c r="C43" t="s">
        <v>21</v>
      </c>
      <c r="D43" s="4">
        <f ca="1">COUNTIF(INDIRECT("'"&amp;D$2&amp;"'!B2:B50"),'Use Indirect'!$C43)</f>
        <v>0</v>
      </c>
      <c r="E43" s="4">
        <f ca="1">COUNTIF(INDIRECT("'"&amp;E$2&amp;"'!B2:B50"),'Use Indirect'!$C43)</f>
        <v>1</v>
      </c>
      <c r="F43" s="4">
        <f ca="1">COUNTIF(INDIRECT("'"&amp;F$2&amp;"'!B2:B50"),'Use Indirect'!$C43)</f>
        <v>1</v>
      </c>
      <c r="G43" s="4">
        <f ca="1">COUNTIF(INDIRECT("'"&amp;G$2&amp;"'!B2:B50"),'Use Indirect'!$C43)</f>
        <v>1</v>
      </c>
    </row>
    <row r="44" spans="3:7" x14ac:dyDescent="0.55000000000000004">
      <c r="C44" t="s">
        <v>9</v>
      </c>
      <c r="D44" s="4">
        <f ca="1">COUNTIF(INDIRECT("'"&amp;D$2&amp;"'!B2:B50"),'Use Indirect'!$C44)</f>
        <v>0</v>
      </c>
      <c r="E44" s="4">
        <f ca="1">COUNTIF(INDIRECT("'"&amp;E$2&amp;"'!B2:B50"),'Use Indirect'!$C44)</f>
        <v>1</v>
      </c>
      <c r="F44" s="4">
        <f ca="1">COUNTIF(INDIRECT("'"&amp;F$2&amp;"'!B2:B50"),'Use Indirect'!$C44)</f>
        <v>1</v>
      </c>
      <c r="G44" s="4">
        <f ca="1">COUNTIF(INDIRECT("'"&amp;G$2&amp;"'!B2:B50"),'Use Indirect'!$C44)</f>
        <v>0</v>
      </c>
    </row>
    <row r="45" spans="3:7" x14ac:dyDescent="0.55000000000000004">
      <c r="C45" t="s">
        <v>34</v>
      </c>
      <c r="D45" s="4">
        <f ca="1">COUNTIF(INDIRECT("'"&amp;D$2&amp;"'!B2:B50"),'Use Indirect'!$C45)</f>
        <v>1</v>
      </c>
      <c r="E45" s="4">
        <f ca="1">COUNTIF(INDIRECT("'"&amp;E$2&amp;"'!B2:B50"),'Use Indirect'!$C45)</f>
        <v>1</v>
      </c>
      <c r="F45" s="4">
        <f ca="1">COUNTIF(INDIRECT("'"&amp;F$2&amp;"'!B2:B50"),'Use Indirect'!$C45)</f>
        <v>0</v>
      </c>
      <c r="G45" s="4">
        <f ca="1">COUNTIF(INDIRECT("'"&amp;G$2&amp;"'!B2:B50"),'Use Indirect'!$C45)</f>
        <v>1</v>
      </c>
    </row>
    <row r="46" spans="3:7" x14ac:dyDescent="0.55000000000000004">
      <c r="C46" t="s">
        <v>42</v>
      </c>
      <c r="D46" s="4">
        <f ca="1">COUNTIF(INDIRECT("'"&amp;D$2&amp;"'!B2:B50"),'Use Indirect'!$C46)</f>
        <v>1</v>
      </c>
      <c r="E46" s="4">
        <f ca="1">COUNTIF(INDIRECT("'"&amp;E$2&amp;"'!B2:B50"),'Use Indirect'!$C46)</f>
        <v>0</v>
      </c>
      <c r="F46" s="4">
        <f ca="1">COUNTIF(INDIRECT("'"&amp;F$2&amp;"'!B2:B50"),'Use Indirect'!$C46)</f>
        <v>1</v>
      </c>
      <c r="G46" s="4">
        <f ca="1">COUNTIF(INDIRECT("'"&amp;G$2&amp;"'!B2:B50"),'Use Indirect'!$C46)</f>
        <v>1</v>
      </c>
    </row>
    <row r="47" spans="3:7" x14ac:dyDescent="0.55000000000000004">
      <c r="C47" t="s">
        <v>33</v>
      </c>
      <c r="D47" s="4">
        <f ca="1">COUNTIF(INDIRECT("'"&amp;D$2&amp;"'!B2:B50"),'Use Indirect'!$C47)</f>
        <v>1</v>
      </c>
      <c r="E47" s="4">
        <f ca="1">COUNTIF(INDIRECT("'"&amp;E$2&amp;"'!B2:B50"),'Use Indirect'!$C47)</f>
        <v>1</v>
      </c>
      <c r="F47" s="4">
        <f ca="1">COUNTIF(INDIRECT("'"&amp;F$2&amp;"'!B2:B50"),'Use Indirect'!$C47)</f>
        <v>1</v>
      </c>
      <c r="G47" s="4">
        <f ca="1">COUNTIF(INDIRECT("'"&amp;G$2&amp;"'!B2:B50"),'Use Indirect'!$C47)</f>
        <v>1</v>
      </c>
    </row>
    <row r="48" spans="3:7" x14ac:dyDescent="0.55000000000000004">
      <c r="C48" t="s">
        <v>44</v>
      </c>
      <c r="D48" s="4">
        <f ca="1">COUNTIF(INDIRECT("'"&amp;D$2&amp;"'!B2:B50"),'Use Indirect'!$C48)</f>
        <v>1</v>
      </c>
      <c r="E48" s="4">
        <f ca="1">COUNTIF(INDIRECT("'"&amp;E$2&amp;"'!B2:B50"),'Use Indirect'!$C48)</f>
        <v>0</v>
      </c>
      <c r="F48" s="4">
        <f ca="1">COUNTIF(INDIRECT("'"&amp;F$2&amp;"'!B2:B50"),'Use Indirect'!$C48)</f>
        <v>0</v>
      </c>
      <c r="G48" s="4">
        <f ca="1">COUNTIF(INDIRECT("'"&amp;G$2&amp;"'!B2:B50"),'Use Indirect'!$C48)</f>
        <v>1</v>
      </c>
    </row>
    <row r="49" spans="3:7" x14ac:dyDescent="0.55000000000000004">
      <c r="C49" t="s">
        <v>39</v>
      </c>
      <c r="D49" s="4">
        <f ca="1">COUNTIF(INDIRECT("'"&amp;D$2&amp;"'!B2:B50"),'Use Indirect'!$C49)</f>
        <v>1</v>
      </c>
      <c r="E49" s="4">
        <f ca="1">COUNTIF(INDIRECT("'"&amp;E$2&amp;"'!B2:B50"),'Use Indirect'!$C49)</f>
        <v>0</v>
      </c>
      <c r="F49" s="4">
        <f ca="1">COUNTIF(INDIRECT("'"&amp;F$2&amp;"'!B2:B50"),'Use Indirect'!$C49)</f>
        <v>1</v>
      </c>
      <c r="G49" s="4">
        <f ca="1">COUNTIF(INDIRECT("'"&amp;G$2&amp;"'!B2:B50"),'Use Indirect'!$C49)</f>
        <v>0</v>
      </c>
    </row>
    <row r="50" spans="3:7" x14ac:dyDescent="0.55000000000000004">
      <c r="C50" t="s">
        <v>51</v>
      </c>
      <c r="D50" s="4">
        <f ca="1">COUNTIF(INDIRECT("'"&amp;D$2&amp;"'!B2:B50"),'Use Indirect'!$C50)</f>
        <v>1</v>
      </c>
      <c r="E50" s="4">
        <f ca="1">COUNTIF(INDIRECT("'"&amp;E$2&amp;"'!B2:B50"),'Use Indirect'!$C50)</f>
        <v>0</v>
      </c>
      <c r="F50" s="4">
        <f ca="1">COUNTIF(INDIRECT("'"&amp;F$2&amp;"'!B2:B50"),'Use Indirect'!$C50)</f>
        <v>0</v>
      </c>
      <c r="G50" s="4">
        <f ca="1">COUNTIF(INDIRECT("'"&amp;G$2&amp;"'!B2:B50"),'Use Indirect'!$C50)</f>
        <v>1</v>
      </c>
    </row>
    <row r="51" spans="3:7" x14ac:dyDescent="0.55000000000000004">
      <c r="C51" t="s">
        <v>29</v>
      </c>
      <c r="D51" s="4">
        <f ca="1">COUNTIF(INDIRECT("'"&amp;D$2&amp;"'!B2:B50"),'Use Indirect'!$C51)</f>
        <v>1</v>
      </c>
      <c r="E51" s="4">
        <f ca="1">COUNTIF(INDIRECT("'"&amp;E$2&amp;"'!B2:B50"),'Use Indirect'!$C51)</f>
        <v>1</v>
      </c>
      <c r="F51" s="4">
        <f ca="1">COUNTIF(INDIRECT("'"&amp;F$2&amp;"'!B2:B50"),'Use Indirect'!$C51)</f>
        <v>1</v>
      </c>
      <c r="G51" s="4">
        <f ca="1">COUNTIF(INDIRECT("'"&amp;G$2&amp;"'!B2:B50"),'Use Indirect'!$C51)</f>
        <v>1</v>
      </c>
    </row>
    <row r="52" spans="3:7" x14ac:dyDescent="0.55000000000000004">
      <c r="D52">
        <f ca="1">SUM(D3:D51)</f>
        <v>40</v>
      </c>
      <c r="E52">
        <f t="shared" ref="E52:G52" ca="1" si="0">SUM(E3:E51)</f>
        <v>28</v>
      </c>
      <c r="F52">
        <f t="shared" ca="1" si="0"/>
        <v>38</v>
      </c>
      <c r="G52">
        <f t="shared" ca="1" si="0"/>
        <v>39</v>
      </c>
    </row>
  </sheetData>
  <sortState xmlns:xlrd2="http://schemas.microsoft.com/office/spreadsheetml/2017/richdata2" ref="C3:C51">
    <sortCondition ref="C3:C51"/>
  </sortState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41"/>
  <sheetViews>
    <sheetView workbookViewId="0">
      <selection activeCell="B37" sqref="B37"/>
    </sheetView>
  </sheetViews>
  <sheetFormatPr defaultRowHeight="14.4" x14ac:dyDescent="0.55000000000000004"/>
  <cols>
    <col min="1" max="1" width="3" bestFit="1" customWidth="1"/>
    <col min="2" max="2" width="36.26171875" bestFit="1" customWidth="1"/>
    <col min="3" max="3" width="27.15625" bestFit="1" customWidth="1"/>
    <col min="4" max="5" width="13.83984375" style="4" bestFit="1" customWidth="1"/>
    <col min="6" max="6" width="17" style="4" bestFit="1" customWidth="1"/>
  </cols>
  <sheetData>
    <row r="1" spans="2:6" ht="14.7" thickBot="1" x14ac:dyDescent="0.6">
      <c r="B1" s="7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7" thickTop="1" x14ac:dyDescent="0.55000000000000004">
      <c r="B2" s="1" t="s">
        <v>203</v>
      </c>
      <c r="C2" s="1" t="s">
        <v>86</v>
      </c>
      <c r="D2" s="5" t="s">
        <v>5</v>
      </c>
      <c r="E2" s="5" t="s">
        <v>4</v>
      </c>
      <c r="F2" s="5">
        <v>12345</v>
      </c>
    </row>
    <row r="3" spans="2:6" x14ac:dyDescent="0.55000000000000004">
      <c r="B3" s="1" t="s">
        <v>8</v>
      </c>
      <c r="C3" s="1" t="s">
        <v>87</v>
      </c>
      <c r="D3" s="5" t="s">
        <v>5</v>
      </c>
      <c r="E3" s="5" t="s">
        <v>4</v>
      </c>
      <c r="F3" s="5">
        <v>12345</v>
      </c>
    </row>
    <row r="4" spans="2:6" x14ac:dyDescent="0.55000000000000004">
      <c r="B4" s="1" t="s">
        <v>36</v>
      </c>
      <c r="C4" s="1" t="s">
        <v>88</v>
      </c>
      <c r="D4" s="5" t="s">
        <v>5</v>
      </c>
      <c r="E4" s="5" t="s">
        <v>4</v>
      </c>
      <c r="F4" s="5">
        <v>12345</v>
      </c>
    </row>
    <row r="5" spans="2:6" x14ac:dyDescent="0.55000000000000004">
      <c r="B5" s="1" t="s">
        <v>37</v>
      </c>
      <c r="C5" s="1" t="s">
        <v>89</v>
      </c>
      <c r="D5" s="5" t="s">
        <v>5</v>
      </c>
      <c r="E5" s="5" t="s">
        <v>4</v>
      </c>
      <c r="F5" s="5">
        <v>12345</v>
      </c>
    </row>
    <row r="6" spans="2:6" x14ac:dyDescent="0.55000000000000004">
      <c r="B6" s="1" t="s">
        <v>10</v>
      </c>
      <c r="C6" s="1" t="s">
        <v>90</v>
      </c>
      <c r="D6" s="5" t="s">
        <v>5</v>
      </c>
      <c r="E6" s="5" t="s">
        <v>4</v>
      </c>
      <c r="F6" s="5">
        <v>12345</v>
      </c>
    </row>
    <row r="7" spans="2:6" x14ac:dyDescent="0.55000000000000004">
      <c r="B7" s="1" t="s">
        <v>38</v>
      </c>
      <c r="C7" s="1" t="s">
        <v>91</v>
      </c>
      <c r="D7" s="5" t="s">
        <v>5</v>
      </c>
      <c r="E7" s="5" t="s">
        <v>4</v>
      </c>
      <c r="F7" s="5">
        <v>12345</v>
      </c>
    </row>
    <row r="8" spans="2:6" x14ac:dyDescent="0.55000000000000004">
      <c r="B8" s="1" t="s">
        <v>39</v>
      </c>
      <c r="C8" s="1" t="s">
        <v>92</v>
      </c>
      <c r="D8" s="5" t="s">
        <v>5</v>
      </c>
      <c r="E8" s="5" t="s">
        <v>4</v>
      </c>
      <c r="F8" s="5">
        <v>12345</v>
      </c>
    </row>
    <row r="9" spans="2:6" x14ac:dyDescent="0.55000000000000004">
      <c r="B9" s="1" t="s">
        <v>40</v>
      </c>
      <c r="C9" s="1" t="s">
        <v>93</v>
      </c>
      <c r="D9" s="5" t="s">
        <v>5</v>
      </c>
      <c r="E9" s="5" t="s">
        <v>4</v>
      </c>
      <c r="F9" s="5">
        <v>12345</v>
      </c>
    </row>
    <row r="10" spans="2:6" x14ac:dyDescent="0.55000000000000004">
      <c r="B10" s="1" t="s">
        <v>12</v>
      </c>
      <c r="C10" s="1" t="s">
        <v>94</v>
      </c>
      <c r="D10" s="5" t="s">
        <v>5</v>
      </c>
      <c r="E10" s="5" t="s">
        <v>4</v>
      </c>
      <c r="F10" s="5">
        <v>12345</v>
      </c>
    </row>
    <row r="11" spans="2:6" x14ac:dyDescent="0.55000000000000004">
      <c r="B11" s="1" t="s">
        <v>41</v>
      </c>
      <c r="C11" s="1" t="s">
        <v>95</v>
      </c>
      <c r="D11" s="5" t="s">
        <v>5</v>
      </c>
      <c r="E11" s="5" t="s">
        <v>4</v>
      </c>
      <c r="F11" s="5">
        <v>12345</v>
      </c>
    </row>
    <row r="12" spans="2:6" x14ac:dyDescent="0.55000000000000004">
      <c r="B12" s="1" t="s">
        <v>14</v>
      </c>
      <c r="C12" s="1" t="s">
        <v>96</v>
      </c>
      <c r="D12" s="5" t="s">
        <v>5</v>
      </c>
      <c r="E12" s="5" t="s">
        <v>4</v>
      </c>
      <c r="F12" s="5">
        <v>12345</v>
      </c>
    </row>
    <row r="13" spans="2:6" x14ac:dyDescent="0.55000000000000004">
      <c r="B13" s="1" t="s">
        <v>15</v>
      </c>
      <c r="C13" s="1" t="s">
        <v>97</v>
      </c>
      <c r="D13" s="5" t="s">
        <v>5</v>
      </c>
      <c r="E13" s="5" t="s">
        <v>4</v>
      </c>
      <c r="F13" s="5">
        <v>12345</v>
      </c>
    </row>
    <row r="14" spans="2:6" x14ac:dyDescent="0.55000000000000004">
      <c r="B14" s="1" t="s">
        <v>17</v>
      </c>
      <c r="C14" s="1" t="s">
        <v>98</v>
      </c>
      <c r="D14" s="5" t="s">
        <v>5</v>
      </c>
      <c r="E14" s="5" t="s">
        <v>4</v>
      </c>
      <c r="F14" s="5">
        <v>12345</v>
      </c>
    </row>
    <row r="15" spans="2:6" x14ac:dyDescent="0.55000000000000004">
      <c r="B15" s="1" t="s">
        <v>18</v>
      </c>
      <c r="C15" s="1" t="s">
        <v>99</v>
      </c>
      <c r="D15" s="5" t="s">
        <v>5</v>
      </c>
      <c r="E15" s="5" t="s">
        <v>4</v>
      </c>
      <c r="F15" s="5">
        <v>12345</v>
      </c>
    </row>
    <row r="16" spans="2:6" x14ac:dyDescent="0.55000000000000004">
      <c r="B16" s="1" t="s">
        <v>19</v>
      </c>
      <c r="C16" s="1" t="s">
        <v>100</v>
      </c>
      <c r="D16" s="5" t="s">
        <v>5</v>
      </c>
      <c r="E16" s="5" t="s">
        <v>4</v>
      </c>
      <c r="F16" s="5">
        <v>12345</v>
      </c>
    </row>
    <row r="17" spans="2:6" x14ac:dyDescent="0.55000000000000004">
      <c r="B17" s="1" t="s">
        <v>20</v>
      </c>
      <c r="C17" s="1" t="s">
        <v>101</v>
      </c>
      <c r="D17" s="5" t="s">
        <v>5</v>
      </c>
      <c r="E17" s="5" t="s">
        <v>4</v>
      </c>
      <c r="F17" s="5">
        <v>12345</v>
      </c>
    </row>
    <row r="18" spans="2:6" x14ac:dyDescent="0.55000000000000004">
      <c r="B18" s="1" t="s">
        <v>22</v>
      </c>
      <c r="C18" s="1" t="s">
        <v>102</v>
      </c>
      <c r="D18" s="5" t="s">
        <v>5</v>
      </c>
      <c r="E18" s="5" t="s">
        <v>4</v>
      </c>
      <c r="F18" s="5">
        <v>12345</v>
      </c>
    </row>
    <row r="19" spans="2:6" x14ac:dyDescent="0.55000000000000004">
      <c r="B19" s="1" t="s">
        <v>23</v>
      </c>
      <c r="C19" s="1" t="s">
        <v>103</v>
      </c>
      <c r="D19" s="5" t="s">
        <v>5</v>
      </c>
      <c r="E19" s="5" t="s">
        <v>4</v>
      </c>
      <c r="F19" s="5">
        <v>12345</v>
      </c>
    </row>
    <row r="20" spans="2:6" x14ac:dyDescent="0.55000000000000004">
      <c r="B20" s="1" t="s">
        <v>42</v>
      </c>
      <c r="C20" s="1" t="s">
        <v>104</v>
      </c>
      <c r="D20" s="5" t="s">
        <v>5</v>
      </c>
      <c r="E20" s="5" t="s">
        <v>4</v>
      </c>
      <c r="F20" s="5">
        <v>12345</v>
      </c>
    </row>
    <row r="21" spans="2:6" x14ac:dyDescent="0.55000000000000004">
      <c r="B21" s="1" t="s">
        <v>24</v>
      </c>
      <c r="C21" s="1" t="s">
        <v>105</v>
      </c>
      <c r="D21" s="5" t="s">
        <v>5</v>
      </c>
      <c r="E21" s="5" t="s">
        <v>4</v>
      </c>
      <c r="F21" s="5">
        <v>12345</v>
      </c>
    </row>
    <row r="22" spans="2:6" x14ac:dyDescent="0.55000000000000004">
      <c r="B22" s="1" t="s">
        <v>43</v>
      </c>
      <c r="C22" s="1" t="s">
        <v>106</v>
      </c>
      <c r="D22" s="5" t="s">
        <v>5</v>
      </c>
      <c r="E22" s="5" t="s">
        <v>4</v>
      </c>
      <c r="F22" s="5">
        <v>12345</v>
      </c>
    </row>
    <row r="23" spans="2:6" x14ac:dyDescent="0.55000000000000004">
      <c r="B23" s="1" t="s">
        <v>25</v>
      </c>
      <c r="C23" s="1" t="s">
        <v>107</v>
      </c>
      <c r="D23" s="5" t="s">
        <v>5</v>
      </c>
      <c r="E23" s="5" t="s">
        <v>4</v>
      </c>
      <c r="F23" s="5">
        <v>12345</v>
      </c>
    </row>
    <row r="24" spans="2:6" x14ac:dyDescent="0.55000000000000004">
      <c r="B24" s="1" t="s">
        <v>44</v>
      </c>
      <c r="C24" s="1" t="s">
        <v>108</v>
      </c>
      <c r="D24" s="5" t="s">
        <v>5</v>
      </c>
      <c r="E24" s="5" t="s">
        <v>4</v>
      </c>
      <c r="F24" s="5">
        <v>12345</v>
      </c>
    </row>
    <row r="25" spans="2:6" x14ac:dyDescent="0.55000000000000004">
      <c r="B25" s="1" t="s">
        <v>26</v>
      </c>
      <c r="C25" s="1" t="s">
        <v>109</v>
      </c>
      <c r="D25" s="5" t="s">
        <v>5</v>
      </c>
      <c r="E25" s="5" t="s">
        <v>4</v>
      </c>
      <c r="F25" s="5">
        <v>12345</v>
      </c>
    </row>
    <row r="26" spans="2:6" x14ac:dyDescent="0.55000000000000004">
      <c r="B26" s="1" t="s">
        <v>45</v>
      </c>
      <c r="C26" s="1" t="s">
        <v>110</v>
      </c>
      <c r="D26" s="5" t="s">
        <v>5</v>
      </c>
      <c r="E26" s="5" t="s">
        <v>4</v>
      </c>
      <c r="F26" s="5">
        <v>12345</v>
      </c>
    </row>
    <row r="27" spans="2:6" x14ac:dyDescent="0.55000000000000004">
      <c r="B27" s="1" t="s">
        <v>27</v>
      </c>
      <c r="C27" s="1" t="s">
        <v>111</v>
      </c>
      <c r="D27" s="5" t="s">
        <v>5</v>
      </c>
      <c r="E27" s="5" t="s">
        <v>4</v>
      </c>
      <c r="F27" s="5">
        <v>12345</v>
      </c>
    </row>
    <row r="28" spans="2:6" x14ac:dyDescent="0.55000000000000004">
      <c r="B28" s="1" t="s">
        <v>28</v>
      </c>
      <c r="C28" s="1" t="s">
        <v>112</v>
      </c>
      <c r="D28" s="5" t="s">
        <v>5</v>
      </c>
      <c r="E28" s="5" t="s">
        <v>4</v>
      </c>
      <c r="F28" s="5">
        <v>12345</v>
      </c>
    </row>
    <row r="29" spans="2:6" x14ac:dyDescent="0.55000000000000004">
      <c r="B29" s="1" t="s">
        <v>13</v>
      </c>
      <c r="C29" s="1" t="s">
        <v>113</v>
      </c>
      <c r="D29" s="5" t="s">
        <v>5</v>
      </c>
      <c r="E29" s="5" t="s">
        <v>4</v>
      </c>
      <c r="F29" s="5">
        <v>12345</v>
      </c>
    </row>
    <row r="30" spans="2:6" x14ac:dyDescent="0.55000000000000004">
      <c r="B30" s="1" t="s">
        <v>29</v>
      </c>
      <c r="C30" s="1" t="s">
        <v>114</v>
      </c>
      <c r="D30" s="5" t="s">
        <v>5</v>
      </c>
      <c r="E30" s="5" t="s">
        <v>4</v>
      </c>
      <c r="F30" s="5">
        <v>12345</v>
      </c>
    </row>
    <row r="31" spans="2:6" x14ac:dyDescent="0.55000000000000004">
      <c r="B31" s="1" t="s">
        <v>30</v>
      </c>
      <c r="C31" s="1" t="s">
        <v>115</v>
      </c>
      <c r="D31" s="5" t="s">
        <v>5</v>
      </c>
      <c r="E31" s="5" t="s">
        <v>4</v>
      </c>
      <c r="F31" s="5">
        <v>12345</v>
      </c>
    </row>
    <row r="32" spans="2:6" x14ac:dyDescent="0.55000000000000004">
      <c r="B32" s="1" t="s">
        <v>31</v>
      </c>
      <c r="C32" s="1" t="s">
        <v>116</v>
      </c>
      <c r="D32" s="5" t="s">
        <v>5</v>
      </c>
      <c r="E32" s="5" t="s">
        <v>4</v>
      </c>
      <c r="F32" s="5">
        <v>12345</v>
      </c>
    </row>
    <row r="33" spans="2:6" x14ac:dyDescent="0.55000000000000004">
      <c r="B33" s="1" t="s">
        <v>32</v>
      </c>
      <c r="C33" s="1" t="s">
        <v>117</v>
      </c>
      <c r="D33" s="5" t="s">
        <v>5</v>
      </c>
      <c r="E33" s="5" t="s">
        <v>4</v>
      </c>
      <c r="F33" s="5">
        <v>12345</v>
      </c>
    </row>
    <row r="34" spans="2:6" x14ac:dyDescent="0.55000000000000004">
      <c r="B34" s="1" t="s">
        <v>46</v>
      </c>
      <c r="C34" s="1" t="s">
        <v>118</v>
      </c>
      <c r="D34" s="5" t="s">
        <v>5</v>
      </c>
      <c r="E34" s="5" t="s">
        <v>4</v>
      </c>
      <c r="F34" s="5">
        <v>12345</v>
      </c>
    </row>
    <row r="35" spans="2:6" x14ac:dyDescent="0.55000000000000004">
      <c r="B35" s="1" t="s">
        <v>47</v>
      </c>
      <c r="C35" s="1" t="s">
        <v>119</v>
      </c>
      <c r="D35" s="5" t="s">
        <v>5</v>
      </c>
      <c r="E35" s="5" t="s">
        <v>4</v>
      </c>
      <c r="F35" s="5">
        <v>12345</v>
      </c>
    </row>
    <row r="36" spans="2:6" x14ac:dyDescent="0.55000000000000004">
      <c r="B36" s="1" t="s">
        <v>33</v>
      </c>
      <c r="C36" s="1" t="s">
        <v>120</v>
      </c>
      <c r="D36" s="5" t="s">
        <v>5</v>
      </c>
      <c r="E36" s="5" t="s">
        <v>4</v>
      </c>
      <c r="F36" s="5">
        <v>12345</v>
      </c>
    </row>
    <row r="37" spans="2:6" x14ac:dyDescent="0.55000000000000004">
      <c r="B37" s="1" t="s">
        <v>48</v>
      </c>
      <c r="C37" s="1" t="s">
        <v>121</v>
      </c>
      <c r="D37" s="5" t="s">
        <v>5</v>
      </c>
      <c r="E37" s="5" t="s">
        <v>4</v>
      </c>
      <c r="F37" s="5">
        <v>12345</v>
      </c>
    </row>
    <row r="38" spans="2:6" x14ac:dyDescent="0.55000000000000004">
      <c r="B38" s="1" t="s">
        <v>49</v>
      </c>
      <c r="C38" s="1" t="s">
        <v>122</v>
      </c>
      <c r="D38" s="5" t="s">
        <v>5</v>
      </c>
      <c r="E38" s="5" t="s">
        <v>4</v>
      </c>
      <c r="F38" s="5">
        <v>12345</v>
      </c>
    </row>
    <row r="39" spans="2:6" x14ac:dyDescent="0.55000000000000004">
      <c r="B39" s="1" t="s">
        <v>34</v>
      </c>
      <c r="C39" s="1" t="s">
        <v>123</v>
      </c>
      <c r="D39" s="5" t="s">
        <v>5</v>
      </c>
      <c r="E39" s="5" t="s">
        <v>4</v>
      </c>
      <c r="F39" s="5">
        <v>12345</v>
      </c>
    </row>
    <row r="40" spans="2:6" x14ac:dyDescent="0.55000000000000004">
      <c r="B40" s="1" t="s">
        <v>50</v>
      </c>
      <c r="C40" s="1" t="s">
        <v>124</v>
      </c>
      <c r="D40" s="5" t="s">
        <v>5</v>
      </c>
      <c r="E40" s="5" t="s">
        <v>4</v>
      </c>
      <c r="F40" s="5">
        <v>12345</v>
      </c>
    </row>
    <row r="41" spans="2:6" x14ac:dyDescent="0.55000000000000004">
      <c r="B41" s="1" t="s">
        <v>51</v>
      </c>
      <c r="C41" s="1" t="s">
        <v>125</v>
      </c>
      <c r="D41" s="5" t="s">
        <v>5</v>
      </c>
      <c r="E41" s="5" t="s">
        <v>4</v>
      </c>
      <c r="F41" s="5">
        <v>12345</v>
      </c>
    </row>
  </sheetData>
  <conditionalFormatting sqref="C2:C41">
    <cfRule type="duplicateValues" dxfId="3" priority="47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42"/>
  <sheetViews>
    <sheetView zoomScaleNormal="100" workbookViewId="0">
      <selection activeCell="D27" sqref="D27"/>
    </sheetView>
  </sheetViews>
  <sheetFormatPr defaultRowHeight="14.4" x14ac:dyDescent="0.55000000000000004"/>
  <cols>
    <col min="1" max="1" width="3" bestFit="1" customWidth="1"/>
    <col min="2" max="2" width="36.26171875" bestFit="1" customWidth="1"/>
    <col min="3" max="3" width="27.15625" bestFit="1" customWidth="1"/>
    <col min="4" max="5" width="13.83984375" style="4" bestFit="1" customWidth="1"/>
    <col min="6" max="6" width="17" style="4" bestFit="1" customWidth="1"/>
  </cols>
  <sheetData>
    <row r="1" spans="2:6" ht="14.7" thickBot="1" x14ac:dyDescent="0.6">
      <c r="B1" s="7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7" thickTop="1" x14ac:dyDescent="0.55000000000000004">
      <c r="B2" s="1" t="s">
        <v>7</v>
      </c>
      <c r="C2" s="1" t="s">
        <v>58</v>
      </c>
      <c r="D2" s="5" t="s">
        <v>5</v>
      </c>
      <c r="E2" s="5" t="s">
        <v>204</v>
      </c>
      <c r="F2" s="5">
        <v>12345</v>
      </c>
    </row>
    <row r="3" spans="2:6" x14ac:dyDescent="0.55000000000000004">
      <c r="B3" s="1" t="s">
        <v>202</v>
      </c>
      <c r="C3" s="1" t="s">
        <v>59</v>
      </c>
      <c r="D3" s="5" t="s">
        <v>5</v>
      </c>
      <c r="E3" s="5" t="s">
        <v>204</v>
      </c>
      <c r="F3" s="5">
        <v>12345</v>
      </c>
    </row>
    <row r="4" spans="2:6" x14ac:dyDescent="0.55000000000000004">
      <c r="B4" s="1" t="s">
        <v>9</v>
      </c>
      <c r="C4" s="1" t="s">
        <v>60</v>
      </c>
      <c r="D4" s="5" t="s">
        <v>5</v>
      </c>
      <c r="E4" s="5" t="s">
        <v>204</v>
      </c>
      <c r="F4" s="5">
        <v>12345</v>
      </c>
    </row>
    <row r="5" spans="2:6" x14ac:dyDescent="0.55000000000000004">
      <c r="B5" s="1" t="s">
        <v>10</v>
      </c>
      <c r="C5" s="1" t="s">
        <v>61</v>
      </c>
      <c r="D5" s="5" t="s">
        <v>5</v>
      </c>
      <c r="E5" s="5" t="s">
        <v>204</v>
      </c>
      <c r="F5" s="5">
        <v>12345</v>
      </c>
    </row>
    <row r="6" spans="2:6" x14ac:dyDescent="0.55000000000000004">
      <c r="B6" s="1" t="s">
        <v>11</v>
      </c>
      <c r="C6" s="1" t="s">
        <v>62</v>
      </c>
      <c r="D6" s="5" t="s">
        <v>5</v>
      </c>
      <c r="E6" s="5" t="s">
        <v>204</v>
      </c>
      <c r="F6" s="5">
        <v>12345</v>
      </c>
    </row>
    <row r="7" spans="2:6" x14ac:dyDescent="0.55000000000000004">
      <c r="B7" s="1" t="s">
        <v>12</v>
      </c>
      <c r="C7" s="1" t="s">
        <v>63</v>
      </c>
      <c r="D7" s="5" t="s">
        <v>5</v>
      </c>
      <c r="E7" s="5" t="s">
        <v>204</v>
      </c>
      <c r="F7" s="5">
        <v>12345</v>
      </c>
    </row>
    <row r="8" spans="2:6" x14ac:dyDescent="0.55000000000000004">
      <c r="B8" s="1" t="s">
        <v>13</v>
      </c>
      <c r="C8" s="1" t="s">
        <v>64</v>
      </c>
      <c r="D8" s="5" t="s">
        <v>5</v>
      </c>
      <c r="E8" s="5" t="s">
        <v>204</v>
      </c>
      <c r="F8" s="5">
        <v>12345</v>
      </c>
    </row>
    <row r="9" spans="2:6" x14ac:dyDescent="0.55000000000000004">
      <c r="B9" s="1" t="s">
        <v>14</v>
      </c>
      <c r="C9" s="1" t="s">
        <v>65</v>
      </c>
      <c r="D9" s="5" t="s">
        <v>5</v>
      </c>
      <c r="E9" s="5" t="s">
        <v>204</v>
      </c>
      <c r="F9" s="5">
        <v>12345</v>
      </c>
    </row>
    <row r="10" spans="2:6" ht="15.75" customHeight="1" x14ac:dyDescent="0.55000000000000004">
      <c r="B10" s="1" t="s">
        <v>15</v>
      </c>
      <c r="C10" s="1" t="s">
        <v>66</v>
      </c>
      <c r="D10" s="5" t="s">
        <v>5</v>
      </c>
      <c r="E10" s="5" t="s">
        <v>204</v>
      </c>
      <c r="F10" s="5">
        <v>12345</v>
      </c>
    </row>
    <row r="11" spans="2:6" x14ac:dyDescent="0.55000000000000004">
      <c r="B11" s="1" t="s">
        <v>16</v>
      </c>
      <c r="C11" s="1" t="s">
        <v>67</v>
      </c>
      <c r="D11" s="5" t="s">
        <v>5</v>
      </c>
      <c r="E11" s="5" t="s">
        <v>204</v>
      </c>
      <c r="F11" s="5">
        <v>12345</v>
      </c>
    </row>
    <row r="12" spans="2:6" x14ac:dyDescent="0.55000000000000004">
      <c r="B12" s="1" t="s">
        <v>17</v>
      </c>
      <c r="C12" s="1" t="s">
        <v>68</v>
      </c>
      <c r="D12" s="5" t="s">
        <v>5</v>
      </c>
      <c r="E12" s="5" t="s">
        <v>204</v>
      </c>
      <c r="F12" s="5">
        <v>12345</v>
      </c>
    </row>
    <row r="13" spans="2:6" x14ac:dyDescent="0.55000000000000004">
      <c r="B13" s="1" t="s">
        <v>18</v>
      </c>
      <c r="C13" s="1" t="s">
        <v>69</v>
      </c>
      <c r="D13" s="5" t="s">
        <v>5</v>
      </c>
      <c r="E13" s="5" t="s">
        <v>204</v>
      </c>
      <c r="F13" s="5">
        <v>12345</v>
      </c>
    </row>
    <row r="14" spans="2:6" x14ac:dyDescent="0.55000000000000004">
      <c r="B14" s="1" t="s">
        <v>19</v>
      </c>
      <c r="C14" s="1" t="s">
        <v>70</v>
      </c>
      <c r="D14" s="5" t="s">
        <v>5</v>
      </c>
      <c r="E14" s="5" t="s">
        <v>204</v>
      </c>
      <c r="F14" s="5">
        <v>12345</v>
      </c>
    </row>
    <row r="15" spans="2:6" x14ac:dyDescent="0.55000000000000004">
      <c r="B15" s="1" t="s">
        <v>20</v>
      </c>
      <c r="C15" s="1" t="s">
        <v>71</v>
      </c>
      <c r="D15" s="5" t="s">
        <v>5</v>
      </c>
      <c r="E15" s="5" t="s">
        <v>204</v>
      </c>
      <c r="F15" s="5">
        <v>12345</v>
      </c>
    </row>
    <row r="16" spans="2:6" x14ac:dyDescent="0.55000000000000004">
      <c r="B16" s="1" t="s">
        <v>21</v>
      </c>
      <c r="C16" s="1" t="s">
        <v>72</v>
      </c>
      <c r="D16" s="5" t="s">
        <v>5</v>
      </c>
      <c r="E16" s="5" t="s">
        <v>204</v>
      </c>
      <c r="F16" s="5">
        <v>12345</v>
      </c>
    </row>
    <row r="17" spans="2:6" x14ac:dyDescent="0.55000000000000004">
      <c r="B17" s="1" t="s">
        <v>22</v>
      </c>
      <c r="C17" s="1" t="s">
        <v>73</v>
      </c>
      <c r="D17" s="5" t="s">
        <v>5</v>
      </c>
      <c r="E17" s="5" t="s">
        <v>204</v>
      </c>
      <c r="F17" s="5">
        <v>12345</v>
      </c>
    </row>
    <row r="18" spans="2:6" x14ac:dyDescent="0.55000000000000004">
      <c r="B18" s="1" t="s">
        <v>23</v>
      </c>
      <c r="C18" s="1" t="s">
        <v>74</v>
      </c>
      <c r="D18" s="5" t="s">
        <v>5</v>
      </c>
      <c r="E18" s="5" t="s">
        <v>204</v>
      </c>
      <c r="F18" s="5">
        <v>12345</v>
      </c>
    </row>
    <row r="19" spans="2:6" x14ac:dyDescent="0.55000000000000004">
      <c r="B19" s="1" t="s">
        <v>24</v>
      </c>
      <c r="C19" s="1" t="s">
        <v>75</v>
      </c>
      <c r="D19" s="5" t="s">
        <v>5</v>
      </c>
      <c r="E19" s="5" t="s">
        <v>204</v>
      </c>
      <c r="F19" s="5">
        <v>12345</v>
      </c>
    </row>
    <row r="20" spans="2:6" x14ac:dyDescent="0.55000000000000004">
      <c r="B20" s="1" t="s">
        <v>25</v>
      </c>
      <c r="C20" s="1" t="s">
        <v>76</v>
      </c>
      <c r="D20" s="5" t="s">
        <v>5</v>
      </c>
      <c r="E20" s="5" t="s">
        <v>204</v>
      </c>
      <c r="F20" s="5">
        <v>12345</v>
      </c>
    </row>
    <row r="21" spans="2:6" x14ac:dyDescent="0.55000000000000004">
      <c r="B21" s="1" t="s">
        <v>26</v>
      </c>
      <c r="C21" s="1" t="s">
        <v>77</v>
      </c>
      <c r="D21" s="5" t="s">
        <v>5</v>
      </c>
      <c r="E21" s="5" t="s">
        <v>204</v>
      </c>
      <c r="F21" s="5">
        <v>12345</v>
      </c>
    </row>
    <row r="22" spans="2:6" x14ac:dyDescent="0.55000000000000004">
      <c r="B22" s="1" t="s">
        <v>27</v>
      </c>
      <c r="C22" s="1" t="s">
        <v>78</v>
      </c>
      <c r="D22" s="5" t="s">
        <v>5</v>
      </c>
      <c r="E22" s="5" t="s">
        <v>204</v>
      </c>
      <c r="F22" s="5">
        <v>12345</v>
      </c>
    </row>
    <row r="23" spans="2:6" x14ac:dyDescent="0.55000000000000004">
      <c r="B23" s="1" t="s">
        <v>28</v>
      </c>
      <c r="C23" s="1" t="s">
        <v>79</v>
      </c>
      <c r="D23" s="5" t="s">
        <v>5</v>
      </c>
      <c r="E23" s="5" t="s">
        <v>204</v>
      </c>
      <c r="F23" s="5">
        <v>12345</v>
      </c>
    </row>
    <row r="24" spans="2:6" x14ac:dyDescent="0.55000000000000004">
      <c r="B24" s="1" t="s">
        <v>29</v>
      </c>
      <c r="C24" s="1" t="s">
        <v>80</v>
      </c>
      <c r="D24" s="5" t="s">
        <v>5</v>
      </c>
      <c r="E24" s="5" t="s">
        <v>204</v>
      </c>
      <c r="F24" s="5">
        <v>12345</v>
      </c>
    </row>
    <row r="25" spans="2:6" x14ac:dyDescent="0.55000000000000004">
      <c r="B25" s="1" t="s">
        <v>30</v>
      </c>
      <c r="C25" s="1" t="s">
        <v>81</v>
      </c>
      <c r="D25" s="5" t="s">
        <v>5</v>
      </c>
      <c r="E25" s="5" t="s">
        <v>204</v>
      </c>
      <c r="F25" s="5">
        <v>12345</v>
      </c>
    </row>
    <row r="26" spans="2:6" x14ac:dyDescent="0.55000000000000004">
      <c r="B26" s="1" t="s">
        <v>31</v>
      </c>
      <c r="C26" s="1" t="s">
        <v>82</v>
      </c>
      <c r="D26" s="5" t="s">
        <v>5</v>
      </c>
      <c r="E26" s="5" t="s">
        <v>204</v>
      </c>
      <c r="F26" s="5">
        <v>12345</v>
      </c>
    </row>
    <row r="27" spans="2:6" x14ac:dyDescent="0.55000000000000004">
      <c r="B27" s="1" t="s">
        <v>32</v>
      </c>
      <c r="C27" s="1" t="s">
        <v>83</v>
      </c>
      <c r="D27" s="5" t="s">
        <v>5</v>
      </c>
      <c r="E27" s="5" t="s">
        <v>204</v>
      </c>
      <c r="F27" s="5">
        <v>12345</v>
      </c>
    </row>
    <row r="28" spans="2:6" x14ac:dyDescent="0.55000000000000004">
      <c r="B28" s="1" t="s">
        <v>33</v>
      </c>
      <c r="C28" s="1" t="s">
        <v>84</v>
      </c>
      <c r="D28" s="5" t="s">
        <v>5</v>
      </c>
      <c r="E28" s="5" t="s">
        <v>204</v>
      </c>
      <c r="F28" s="5">
        <v>12345</v>
      </c>
    </row>
    <row r="29" spans="2:6" x14ac:dyDescent="0.55000000000000004">
      <c r="B29" s="1" t="s">
        <v>34</v>
      </c>
      <c r="C29" s="1" t="s">
        <v>85</v>
      </c>
      <c r="D29" s="5" t="s">
        <v>5</v>
      </c>
      <c r="E29" s="5" t="s">
        <v>204</v>
      </c>
      <c r="F29" s="5">
        <v>12345</v>
      </c>
    </row>
    <row r="30" spans="2:6" x14ac:dyDescent="0.55000000000000004">
      <c r="D30"/>
      <c r="E30"/>
      <c r="F30"/>
    </row>
    <row r="31" spans="2:6" x14ac:dyDescent="0.55000000000000004">
      <c r="D31"/>
      <c r="E31"/>
      <c r="F31"/>
    </row>
    <row r="32" spans="2:6" x14ac:dyDescent="0.55000000000000004">
      <c r="D32"/>
      <c r="E32"/>
      <c r="F32"/>
    </row>
    <row r="33" spans="2:6" x14ac:dyDescent="0.55000000000000004">
      <c r="D33"/>
      <c r="E33"/>
      <c r="F33"/>
    </row>
    <row r="34" spans="2:6" x14ac:dyDescent="0.55000000000000004">
      <c r="D34"/>
      <c r="E34"/>
      <c r="F34"/>
    </row>
    <row r="35" spans="2:6" x14ac:dyDescent="0.55000000000000004">
      <c r="D35"/>
      <c r="E35"/>
      <c r="F35"/>
    </row>
    <row r="36" spans="2:6" x14ac:dyDescent="0.55000000000000004">
      <c r="D36"/>
      <c r="E36"/>
      <c r="F36"/>
    </row>
    <row r="37" spans="2:6" x14ac:dyDescent="0.55000000000000004">
      <c r="D37"/>
      <c r="E37"/>
      <c r="F37"/>
    </row>
    <row r="38" spans="2:6" x14ac:dyDescent="0.55000000000000004">
      <c r="D38"/>
      <c r="E38"/>
      <c r="F38"/>
    </row>
    <row r="39" spans="2:6" x14ac:dyDescent="0.55000000000000004">
      <c r="D39"/>
      <c r="E39"/>
      <c r="F39"/>
    </row>
    <row r="40" spans="2:6" x14ac:dyDescent="0.55000000000000004">
      <c r="B40" t="s">
        <v>208</v>
      </c>
      <c r="D40"/>
      <c r="E40"/>
      <c r="F40"/>
    </row>
    <row r="41" spans="2:6" x14ac:dyDescent="0.55000000000000004">
      <c r="D41"/>
      <c r="E41"/>
      <c r="F41"/>
    </row>
    <row r="42" spans="2:6" x14ac:dyDescent="0.55000000000000004">
      <c r="D42"/>
      <c r="E42"/>
      <c r="F42"/>
    </row>
  </sheetData>
  <conditionalFormatting sqref="C2:C29">
    <cfRule type="duplicateValues" dxfId="2" priority="4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F39"/>
  <sheetViews>
    <sheetView workbookViewId="0">
      <selection activeCell="E1" sqref="E1"/>
    </sheetView>
  </sheetViews>
  <sheetFormatPr defaultRowHeight="14.4" x14ac:dyDescent="0.55000000000000004"/>
  <cols>
    <col min="1" max="1" width="3" bestFit="1" customWidth="1"/>
    <col min="2" max="2" width="36.26171875" bestFit="1" customWidth="1"/>
    <col min="3" max="3" width="23.15625" bestFit="1" customWidth="1"/>
    <col min="4" max="5" width="13.83984375" style="4" bestFit="1" customWidth="1"/>
    <col min="6" max="6" width="17" style="4" bestFit="1" customWidth="1"/>
  </cols>
  <sheetData>
    <row r="1" spans="2:6" ht="14.7" thickBot="1" x14ac:dyDescent="0.6">
      <c r="B1" s="2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7" thickTop="1" x14ac:dyDescent="0.55000000000000004">
      <c r="B2" s="1" t="s">
        <v>7</v>
      </c>
      <c r="C2" s="1" t="s">
        <v>58</v>
      </c>
      <c r="D2" s="5" t="s">
        <v>5</v>
      </c>
      <c r="E2" s="5" t="s">
        <v>205</v>
      </c>
      <c r="F2" s="5">
        <v>12345</v>
      </c>
    </row>
    <row r="3" spans="2:6" x14ac:dyDescent="0.55000000000000004">
      <c r="B3" s="1" t="s">
        <v>35</v>
      </c>
      <c r="C3" s="1" t="s">
        <v>126</v>
      </c>
      <c r="D3" s="5" t="s">
        <v>5</v>
      </c>
      <c r="E3" s="5" t="s">
        <v>205</v>
      </c>
      <c r="F3" s="5">
        <v>12345</v>
      </c>
    </row>
    <row r="4" spans="2:6" x14ac:dyDescent="0.55000000000000004">
      <c r="B4" s="1" t="s">
        <v>8</v>
      </c>
      <c r="C4" s="1" t="s">
        <v>127</v>
      </c>
      <c r="D4" s="5" t="s">
        <v>5</v>
      </c>
      <c r="E4" s="5" t="s">
        <v>205</v>
      </c>
      <c r="F4" s="5">
        <v>12345</v>
      </c>
    </row>
    <row r="5" spans="2:6" x14ac:dyDescent="0.55000000000000004">
      <c r="B5" s="1" t="s">
        <v>36</v>
      </c>
      <c r="C5" s="1" t="s">
        <v>128</v>
      </c>
      <c r="D5" s="5" t="s">
        <v>5</v>
      </c>
      <c r="E5" s="5" t="s">
        <v>205</v>
      </c>
      <c r="F5" s="5">
        <v>12345</v>
      </c>
    </row>
    <row r="6" spans="2:6" x14ac:dyDescent="0.55000000000000004">
      <c r="B6" s="1" t="s">
        <v>9</v>
      </c>
      <c r="C6" s="1" t="s">
        <v>129</v>
      </c>
      <c r="D6" s="5" t="s">
        <v>5</v>
      </c>
      <c r="E6" s="5" t="s">
        <v>205</v>
      </c>
      <c r="F6" s="5">
        <v>12345</v>
      </c>
    </row>
    <row r="7" spans="2:6" x14ac:dyDescent="0.55000000000000004">
      <c r="B7" s="1" t="s">
        <v>37</v>
      </c>
      <c r="C7" s="1" t="s">
        <v>130</v>
      </c>
      <c r="D7" s="5" t="s">
        <v>5</v>
      </c>
      <c r="E7" s="5" t="s">
        <v>205</v>
      </c>
      <c r="F7" s="5">
        <v>12345</v>
      </c>
    </row>
    <row r="8" spans="2:6" x14ac:dyDescent="0.55000000000000004">
      <c r="B8" s="1" t="s">
        <v>10</v>
      </c>
      <c r="C8" s="1" t="s">
        <v>131</v>
      </c>
      <c r="D8" s="5" t="s">
        <v>5</v>
      </c>
      <c r="E8" s="5" t="s">
        <v>205</v>
      </c>
      <c r="F8" s="5">
        <v>12345</v>
      </c>
    </row>
    <row r="9" spans="2:6" x14ac:dyDescent="0.55000000000000004">
      <c r="B9" s="1" t="s">
        <v>38</v>
      </c>
      <c r="C9" s="1" t="s">
        <v>132</v>
      </c>
      <c r="D9" s="5" t="s">
        <v>5</v>
      </c>
      <c r="E9" s="5" t="s">
        <v>205</v>
      </c>
      <c r="F9" s="5">
        <v>12345</v>
      </c>
    </row>
    <row r="10" spans="2:6" x14ac:dyDescent="0.55000000000000004">
      <c r="B10" s="1" t="s">
        <v>39</v>
      </c>
      <c r="C10" s="1" t="s">
        <v>133</v>
      </c>
      <c r="D10" s="5" t="s">
        <v>5</v>
      </c>
      <c r="E10" s="5" t="s">
        <v>205</v>
      </c>
      <c r="F10" s="5">
        <v>12345</v>
      </c>
    </row>
    <row r="11" spans="2:6" x14ac:dyDescent="0.55000000000000004">
      <c r="B11" s="1" t="s">
        <v>11</v>
      </c>
      <c r="C11" s="1" t="s">
        <v>134</v>
      </c>
      <c r="D11" s="5" t="s">
        <v>5</v>
      </c>
      <c r="E11" s="5" t="s">
        <v>205</v>
      </c>
      <c r="F11" s="5">
        <v>12345</v>
      </c>
    </row>
    <row r="12" spans="2:6" x14ac:dyDescent="0.55000000000000004">
      <c r="B12" s="1" t="s">
        <v>40</v>
      </c>
      <c r="C12" s="1" t="s">
        <v>135</v>
      </c>
      <c r="D12" s="5" t="s">
        <v>5</v>
      </c>
      <c r="E12" s="5" t="s">
        <v>205</v>
      </c>
      <c r="F12" s="5">
        <v>12345</v>
      </c>
    </row>
    <row r="13" spans="2:6" x14ac:dyDescent="0.55000000000000004">
      <c r="B13" s="1" t="s">
        <v>12</v>
      </c>
      <c r="C13" s="1" t="s">
        <v>136</v>
      </c>
      <c r="D13" s="5" t="s">
        <v>5</v>
      </c>
      <c r="E13" s="5" t="s">
        <v>205</v>
      </c>
      <c r="F13" s="5">
        <v>12345</v>
      </c>
    </row>
    <row r="14" spans="2:6" x14ac:dyDescent="0.55000000000000004">
      <c r="B14" s="1" t="s">
        <v>41</v>
      </c>
      <c r="C14" s="1" t="s">
        <v>137</v>
      </c>
      <c r="D14" s="5" t="s">
        <v>5</v>
      </c>
      <c r="E14" s="5" t="s">
        <v>205</v>
      </c>
      <c r="F14" s="5">
        <v>12345</v>
      </c>
    </row>
    <row r="15" spans="2:6" x14ac:dyDescent="0.55000000000000004">
      <c r="B15" s="1" t="s">
        <v>52</v>
      </c>
      <c r="C15" s="1" t="s">
        <v>138</v>
      </c>
      <c r="D15" s="5" t="s">
        <v>5</v>
      </c>
      <c r="E15" s="5" t="s">
        <v>205</v>
      </c>
      <c r="F15" s="5">
        <v>12345</v>
      </c>
    </row>
    <row r="16" spans="2:6" x14ac:dyDescent="0.55000000000000004">
      <c r="B16" s="1" t="s">
        <v>13</v>
      </c>
      <c r="C16" s="1" t="s">
        <v>139</v>
      </c>
      <c r="D16" s="5" t="s">
        <v>5</v>
      </c>
      <c r="E16" s="5" t="s">
        <v>205</v>
      </c>
      <c r="F16" s="5">
        <v>12345</v>
      </c>
    </row>
    <row r="17" spans="2:6" x14ac:dyDescent="0.55000000000000004">
      <c r="B17" s="1" t="s">
        <v>14</v>
      </c>
      <c r="C17" s="1" t="s">
        <v>140</v>
      </c>
      <c r="D17" s="5" t="s">
        <v>5</v>
      </c>
      <c r="E17" s="5" t="s">
        <v>205</v>
      </c>
      <c r="F17" s="5">
        <v>12345</v>
      </c>
    </row>
    <row r="18" spans="2:6" x14ac:dyDescent="0.55000000000000004">
      <c r="B18" s="1" t="s">
        <v>15</v>
      </c>
      <c r="C18" s="1" t="s">
        <v>141</v>
      </c>
      <c r="D18" s="5" t="s">
        <v>5</v>
      </c>
      <c r="E18" s="5" t="s">
        <v>205</v>
      </c>
      <c r="F18" s="5">
        <v>12345</v>
      </c>
    </row>
    <row r="19" spans="2:6" x14ac:dyDescent="0.55000000000000004">
      <c r="B19" s="1" t="s">
        <v>16</v>
      </c>
      <c r="C19" s="1" t="s">
        <v>142</v>
      </c>
      <c r="D19" s="5" t="s">
        <v>5</v>
      </c>
      <c r="E19" s="5" t="s">
        <v>205</v>
      </c>
      <c r="F19" s="5">
        <v>12345</v>
      </c>
    </row>
    <row r="20" spans="2:6" x14ac:dyDescent="0.55000000000000004">
      <c r="B20" s="1" t="s">
        <v>17</v>
      </c>
      <c r="C20" s="1" t="s">
        <v>143</v>
      </c>
      <c r="D20" s="5" t="s">
        <v>5</v>
      </c>
      <c r="E20" s="5" t="s">
        <v>205</v>
      </c>
      <c r="F20" s="5">
        <v>12345</v>
      </c>
    </row>
    <row r="21" spans="2:6" x14ac:dyDescent="0.55000000000000004">
      <c r="B21" s="1" t="s">
        <v>18</v>
      </c>
      <c r="C21" s="1" t="s">
        <v>144</v>
      </c>
      <c r="D21" s="5" t="s">
        <v>5</v>
      </c>
      <c r="E21" s="5" t="s">
        <v>205</v>
      </c>
      <c r="F21" s="5">
        <v>12345</v>
      </c>
    </row>
    <row r="22" spans="2:6" x14ac:dyDescent="0.55000000000000004">
      <c r="B22" s="1" t="s">
        <v>19</v>
      </c>
      <c r="C22" s="1" t="s">
        <v>145</v>
      </c>
      <c r="D22" s="5" t="s">
        <v>5</v>
      </c>
      <c r="E22" s="5" t="s">
        <v>205</v>
      </c>
      <c r="F22" s="5">
        <v>12345</v>
      </c>
    </row>
    <row r="23" spans="2:6" x14ac:dyDescent="0.55000000000000004">
      <c r="B23" s="1" t="s">
        <v>20</v>
      </c>
      <c r="C23" s="1" t="s">
        <v>146</v>
      </c>
      <c r="D23" s="5" t="s">
        <v>5</v>
      </c>
      <c r="E23" s="5" t="s">
        <v>205</v>
      </c>
      <c r="F23" s="5">
        <v>12345</v>
      </c>
    </row>
    <row r="24" spans="2:6" x14ac:dyDescent="0.55000000000000004">
      <c r="B24" s="1" t="s">
        <v>21</v>
      </c>
      <c r="C24" s="1" t="s">
        <v>147</v>
      </c>
      <c r="D24" s="5" t="s">
        <v>5</v>
      </c>
      <c r="E24" s="5" t="s">
        <v>205</v>
      </c>
      <c r="F24" s="5">
        <v>12345</v>
      </c>
    </row>
    <row r="25" spans="2:6" x14ac:dyDescent="0.55000000000000004">
      <c r="B25" s="1" t="s">
        <v>22</v>
      </c>
      <c r="C25" s="1" t="s">
        <v>148</v>
      </c>
      <c r="D25" s="5" t="s">
        <v>5</v>
      </c>
      <c r="E25" s="5" t="s">
        <v>205</v>
      </c>
      <c r="F25" s="5">
        <v>12345</v>
      </c>
    </row>
    <row r="26" spans="2:6" x14ac:dyDescent="0.55000000000000004">
      <c r="B26" s="1" t="s">
        <v>23</v>
      </c>
      <c r="C26" s="1" t="s">
        <v>149</v>
      </c>
      <c r="D26" s="5" t="s">
        <v>5</v>
      </c>
      <c r="E26" s="5" t="s">
        <v>205</v>
      </c>
      <c r="F26" s="5">
        <v>12345</v>
      </c>
    </row>
    <row r="27" spans="2:6" x14ac:dyDescent="0.55000000000000004">
      <c r="B27" s="1" t="s">
        <v>42</v>
      </c>
      <c r="C27" s="1" t="s">
        <v>150</v>
      </c>
      <c r="D27" s="5" t="s">
        <v>5</v>
      </c>
      <c r="E27" s="5" t="s">
        <v>205</v>
      </c>
      <c r="F27" s="5">
        <v>12345</v>
      </c>
    </row>
    <row r="28" spans="2:6" x14ac:dyDescent="0.55000000000000004">
      <c r="B28" s="1" t="s">
        <v>53</v>
      </c>
      <c r="C28" s="1" t="s">
        <v>151</v>
      </c>
      <c r="D28" s="5" t="s">
        <v>5</v>
      </c>
      <c r="E28" s="5" t="s">
        <v>205</v>
      </c>
      <c r="F28" s="5">
        <v>12345</v>
      </c>
    </row>
    <row r="29" spans="2:6" x14ac:dyDescent="0.55000000000000004">
      <c r="B29" s="1" t="s">
        <v>24</v>
      </c>
      <c r="C29" s="1" t="s">
        <v>152</v>
      </c>
      <c r="D29" s="5" t="s">
        <v>5</v>
      </c>
      <c r="E29" s="5" t="s">
        <v>205</v>
      </c>
      <c r="F29" s="5">
        <v>12345</v>
      </c>
    </row>
    <row r="30" spans="2:6" x14ac:dyDescent="0.55000000000000004">
      <c r="B30" s="1" t="s">
        <v>25</v>
      </c>
      <c r="C30" s="1" t="s">
        <v>153</v>
      </c>
      <c r="D30" s="5" t="s">
        <v>5</v>
      </c>
      <c r="E30" s="5" t="s">
        <v>205</v>
      </c>
      <c r="F30" s="5">
        <v>12345</v>
      </c>
    </row>
    <row r="31" spans="2:6" x14ac:dyDescent="0.55000000000000004">
      <c r="B31" s="1" t="s">
        <v>26</v>
      </c>
      <c r="C31" s="1" t="s">
        <v>154</v>
      </c>
      <c r="D31" s="5" t="s">
        <v>5</v>
      </c>
      <c r="E31" s="5" t="s">
        <v>205</v>
      </c>
      <c r="F31" s="5">
        <v>12345</v>
      </c>
    </row>
    <row r="32" spans="2:6" x14ac:dyDescent="0.55000000000000004">
      <c r="B32" s="1" t="s">
        <v>45</v>
      </c>
      <c r="C32" s="1" t="s">
        <v>155</v>
      </c>
      <c r="D32" s="5" t="s">
        <v>5</v>
      </c>
      <c r="E32" s="5" t="s">
        <v>205</v>
      </c>
      <c r="F32" s="5">
        <v>12345</v>
      </c>
    </row>
    <row r="33" spans="2:6" x14ac:dyDescent="0.55000000000000004">
      <c r="B33" s="1" t="s">
        <v>27</v>
      </c>
      <c r="C33" s="1" t="s">
        <v>156</v>
      </c>
      <c r="D33" s="5" t="s">
        <v>5</v>
      </c>
      <c r="E33" s="5" t="s">
        <v>205</v>
      </c>
      <c r="F33" s="5">
        <v>12345</v>
      </c>
    </row>
    <row r="34" spans="2:6" x14ac:dyDescent="0.55000000000000004">
      <c r="B34" s="1" t="s">
        <v>29</v>
      </c>
      <c r="C34" s="1" t="s">
        <v>157</v>
      </c>
      <c r="D34" s="5" t="s">
        <v>5</v>
      </c>
      <c r="E34" s="5" t="s">
        <v>205</v>
      </c>
      <c r="F34" s="5">
        <v>12345</v>
      </c>
    </row>
    <row r="35" spans="2:6" x14ac:dyDescent="0.55000000000000004">
      <c r="B35" s="1" t="s">
        <v>31</v>
      </c>
      <c r="C35" s="1" t="s">
        <v>158</v>
      </c>
      <c r="D35" s="5" t="s">
        <v>5</v>
      </c>
      <c r="E35" s="5" t="s">
        <v>205</v>
      </c>
      <c r="F35" s="5">
        <v>12345</v>
      </c>
    </row>
    <row r="36" spans="2:6" x14ac:dyDescent="0.55000000000000004">
      <c r="B36" s="1" t="s">
        <v>46</v>
      </c>
      <c r="C36" s="1" t="s">
        <v>159</v>
      </c>
      <c r="D36" s="5" t="s">
        <v>5</v>
      </c>
      <c r="E36" s="5" t="s">
        <v>205</v>
      </c>
      <c r="F36" s="5">
        <v>12345</v>
      </c>
    </row>
    <row r="37" spans="2:6" x14ac:dyDescent="0.55000000000000004">
      <c r="B37" s="1" t="s">
        <v>33</v>
      </c>
      <c r="C37" s="1" t="s">
        <v>160</v>
      </c>
      <c r="D37" s="5" t="s">
        <v>5</v>
      </c>
      <c r="E37" s="5" t="s">
        <v>205</v>
      </c>
      <c r="F37" s="5">
        <v>12345</v>
      </c>
    </row>
    <row r="38" spans="2:6" x14ac:dyDescent="0.55000000000000004">
      <c r="B38" s="1" t="s">
        <v>49</v>
      </c>
      <c r="C38" s="1" t="s">
        <v>161</v>
      </c>
      <c r="D38" s="5" t="s">
        <v>5</v>
      </c>
      <c r="E38" s="5" t="s">
        <v>205</v>
      </c>
      <c r="F38" s="5">
        <v>12345</v>
      </c>
    </row>
    <row r="39" spans="2:6" x14ac:dyDescent="0.55000000000000004">
      <c r="B39" s="1" t="s">
        <v>50</v>
      </c>
      <c r="C39" s="1" t="s">
        <v>162</v>
      </c>
      <c r="D39" s="5" t="s">
        <v>5</v>
      </c>
      <c r="E39" s="5" t="s">
        <v>205</v>
      </c>
      <c r="F39" s="5">
        <v>12345</v>
      </c>
    </row>
  </sheetData>
  <conditionalFormatting sqref="C2:C39">
    <cfRule type="duplicateValues" dxfId="1" priority="4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40"/>
  <sheetViews>
    <sheetView workbookViewId="0">
      <selection activeCell="C1" sqref="C1"/>
    </sheetView>
  </sheetViews>
  <sheetFormatPr defaultRowHeight="14.4" x14ac:dyDescent="0.55000000000000004"/>
  <cols>
    <col min="1" max="1" width="3" bestFit="1" customWidth="1"/>
    <col min="2" max="2" width="36.26171875" bestFit="1" customWidth="1"/>
    <col min="3" max="3" width="27.15625" bestFit="1" customWidth="1"/>
    <col min="4" max="5" width="13.83984375" style="4" bestFit="1" customWidth="1"/>
    <col min="6" max="6" width="17" style="4" bestFit="1" customWidth="1"/>
  </cols>
  <sheetData>
    <row r="1" spans="2:6" ht="14.7" thickBot="1" x14ac:dyDescent="0.6">
      <c r="B1" s="7" t="s">
        <v>6</v>
      </c>
      <c r="C1" s="2" t="s">
        <v>0</v>
      </c>
      <c r="D1" s="3" t="s">
        <v>1</v>
      </c>
      <c r="E1" s="3" t="s">
        <v>2</v>
      </c>
      <c r="F1" s="3" t="s">
        <v>3</v>
      </c>
    </row>
    <row r="2" spans="2:6" ht="14.7" thickTop="1" x14ac:dyDescent="0.55000000000000004">
      <c r="B2" s="1" t="s">
        <v>203</v>
      </c>
      <c r="C2" s="1" t="s">
        <v>86</v>
      </c>
      <c r="D2" s="5" t="s">
        <v>5</v>
      </c>
      <c r="E2" s="5" t="s">
        <v>206</v>
      </c>
      <c r="F2" s="5">
        <v>12345</v>
      </c>
    </row>
    <row r="3" spans="2:6" x14ac:dyDescent="0.55000000000000004">
      <c r="B3" s="1" t="s">
        <v>36</v>
      </c>
      <c r="C3" s="1" t="s">
        <v>163</v>
      </c>
      <c r="D3" s="5" t="s">
        <v>5</v>
      </c>
      <c r="E3" s="5" t="s">
        <v>206</v>
      </c>
      <c r="F3" s="5">
        <v>12345</v>
      </c>
    </row>
    <row r="4" spans="2:6" x14ac:dyDescent="0.55000000000000004">
      <c r="B4" s="1" t="s">
        <v>37</v>
      </c>
      <c r="C4" s="1" t="s">
        <v>164</v>
      </c>
      <c r="D4" s="5" t="s">
        <v>5</v>
      </c>
      <c r="E4" s="5" t="s">
        <v>206</v>
      </c>
      <c r="F4" s="5">
        <v>12345</v>
      </c>
    </row>
    <row r="5" spans="2:6" x14ac:dyDescent="0.55000000000000004">
      <c r="B5" s="1" t="s">
        <v>38</v>
      </c>
      <c r="C5" s="1" t="s">
        <v>165</v>
      </c>
      <c r="D5" s="5" t="s">
        <v>5</v>
      </c>
      <c r="E5" s="5" t="s">
        <v>206</v>
      </c>
      <c r="F5" s="5">
        <v>12345</v>
      </c>
    </row>
    <row r="6" spans="2:6" x14ac:dyDescent="0.55000000000000004">
      <c r="B6" s="1" t="s">
        <v>11</v>
      </c>
      <c r="C6" s="1" t="s">
        <v>166</v>
      </c>
      <c r="D6" s="5" t="s">
        <v>5</v>
      </c>
      <c r="E6" s="5" t="s">
        <v>206</v>
      </c>
      <c r="F6" s="5">
        <v>12345</v>
      </c>
    </row>
    <row r="7" spans="2:6" x14ac:dyDescent="0.55000000000000004">
      <c r="B7" s="1" t="s">
        <v>40</v>
      </c>
      <c r="C7" s="1" t="s">
        <v>167</v>
      </c>
      <c r="D7" s="5" t="s">
        <v>5</v>
      </c>
      <c r="E7" s="5" t="s">
        <v>206</v>
      </c>
      <c r="F7" s="5">
        <v>12345</v>
      </c>
    </row>
    <row r="8" spans="2:6" x14ac:dyDescent="0.55000000000000004">
      <c r="B8" s="1" t="s">
        <v>12</v>
      </c>
      <c r="C8" s="1" t="s">
        <v>168</v>
      </c>
      <c r="D8" s="5" t="s">
        <v>5</v>
      </c>
      <c r="E8" s="5" t="s">
        <v>206</v>
      </c>
      <c r="F8" s="5">
        <v>12345</v>
      </c>
    </row>
    <row r="9" spans="2:6" x14ac:dyDescent="0.55000000000000004">
      <c r="B9" s="1" t="s">
        <v>52</v>
      </c>
      <c r="C9" s="1" t="s">
        <v>169</v>
      </c>
      <c r="D9" s="5" t="s">
        <v>5</v>
      </c>
      <c r="E9" s="5" t="s">
        <v>206</v>
      </c>
      <c r="F9" s="5">
        <v>12345</v>
      </c>
    </row>
    <row r="10" spans="2:6" x14ac:dyDescent="0.55000000000000004">
      <c r="B10" s="1" t="s">
        <v>14</v>
      </c>
      <c r="C10" s="1" t="s">
        <v>170</v>
      </c>
      <c r="D10" s="5" t="s">
        <v>5</v>
      </c>
      <c r="E10" s="5" t="s">
        <v>206</v>
      </c>
      <c r="F10" s="5">
        <v>12345</v>
      </c>
    </row>
    <row r="11" spans="2:6" x14ac:dyDescent="0.55000000000000004">
      <c r="B11" s="1" t="s">
        <v>16</v>
      </c>
      <c r="C11" s="1" t="s">
        <v>171</v>
      </c>
      <c r="D11" s="5" t="s">
        <v>5</v>
      </c>
      <c r="E11" s="5" t="s">
        <v>206</v>
      </c>
      <c r="F11" s="5">
        <v>12345</v>
      </c>
    </row>
    <row r="12" spans="2:6" x14ac:dyDescent="0.55000000000000004">
      <c r="B12" s="1" t="s">
        <v>18</v>
      </c>
      <c r="C12" s="1" t="s">
        <v>172</v>
      </c>
      <c r="D12" s="5" t="s">
        <v>5</v>
      </c>
      <c r="E12" s="5" t="s">
        <v>206</v>
      </c>
      <c r="F12" s="5">
        <v>12345</v>
      </c>
    </row>
    <row r="13" spans="2:6" x14ac:dyDescent="0.55000000000000004">
      <c r="B13" s="1" t="s">
        <v>19</v>
      </c>
      <c r="C13" s="1" t="s">
        <v>173</v>
      </c>
      <c r="D13" s="5" t="s">
        <v>5</v>
      </c>
      <c r="E13" s="5" t="s">
        <v>206</v>
      </c>
      <c r="F13" s="5">
        <v>12345</v>
      </c>
    </row>
    <row r="14" spans="2:6" x14ac:dyDescent="0.55000000000000004">
      <c r="B14" s="1" t="s">
        <v>20</v>
      </c>
      <c r="C14" s="1" t="s">
        <v>174</v>
      </c>
      <c r="D14" s="5" t="s">
        <v>5</v>
      </c>
      <c r="E14" s="5" t="s">
        <v>206</v>
      </c>
      <c r="F14" s="5">
        <v>12345</v>
      </c>
    </row>
    <row r="15" spans="2:6" x14ac:dyDescent="0.55000000000000004">
      <c r="B15" s="1" t="s">
        <v>21</v>
      </c>
      <c r="C15" s="1" t="s">
        <v>175</v>
      </c>
      <c r="D15" s="5" t="s">
        <v>5</v>
      </c>
      <c r="E15" s="5" t="s">
        <v>206</v>
      </c>
      <c r="F15" s="5">
        <v>12345</v>
      </c>
    </row>
    <row r="16" spans="2:6" x14ac:dyDescent="0.55000000000000004">
      <c r="B16" s="1" t="s">
        <v>22</v>
      </c>
      <c r="C16" s="1" t="s">
        <v>176</v>
      </c>
      <c r="D16" s="5" t="s">
        <v>5</v>
      </c>
      <c r="E16" s="5" t="s">
        <v>206</v>
      </c>
      <c r="F16" s="5">
        <v>12345</v>
      </c>
    </row>
    <row r="17" spans="2:6" x14ac:dyDescent="0.55000000000000004">
      <c r="B17" s="1" t="s">
        <v>23</v>
      </c>
      <c r="C17" s="1" t="s">
        <v>177</v>
      </c>
      <c r="D17" s="5" t="s">
        <v>5</v>
      </c>
      <c r="E17" s="5" t="s">
        <v>206</v>
      </c>
      <c r="F17" s="5">
        <v>12345</v>
      </c>
    </row>
    <row r="18" spans="2:6" x14ac:dyDescent="0.55000000000000004">
      <c r="B18" s="1" t="s">
        <v>42</v>
      </c>
      <c r="C18" s="1" t="s">
        <v>178</v>
      </c>
      <c r="D18" s="5" t="s">
        <v>5</v>
      </c>
      <c r="E18" s="5" t="s">
        <v>206</v>
      </c>
      <c r="F18" s="5">
        <v>12345</v>
      </c>
    </row>
    <row r="19" spans="2:6" x14ac:dyDescent="0.55000000000000004">
      <c r="B19" s="1" t="s">
        <v>53</v>
      </c>
      <c r="C19" s="1" t="s">
        <v>179</v>
      </c>
      <c r="D19" s="5" t="s">
        <v>5</v>
      </c>
      <c r="E19" s="5" t="s">
        <v>206</v>
      </c>
      <c r="F19" s="5">
        <v>12345</v>
      </c>
    </row>
    <row r="20" spans="2:6" x14ac:dyDescent="0.55000000000000004">
      <c r="B20" s="1" t="s">
        <v>24</v>
      </c>
      <c r="C20" s="1" t="s">
        <v>180</v>
      </c>
      <c r="D20" s="5" t="s">
        <v>5</v>
      </c>
      <c r="E20" s="5" t="s">
        <v>206</v>
      </c>
      <c r="F20" s="5">
        <v>12345</v>
      </c>
    </row>
    <row r="21" spans="2:6" x14ac:dyDescent="0.55000000000000004">
      <c r="B21" s="1" t="s">
        <v>43</v>
      </c>
      <c r="C21" s="1" t="s">
        <v>181</v>
      </c>
      <c r="D21" s="5" t="s">
        <v>5</v>
      </c>
      <c r="E21" s="5" t="s">
        <v>206</v>
      </c>
      <c r="F21" s="5">
        <v>12345</v>
      </c>
    </row>
    <row r="22" spans="2:6" x14ac:dyDescent="0.55000000000000004">
      <c r="B22" s="1" t="s">
        <v>25</v>
      </c>
      <c r="C22" s="1" t="s">
        <v>182</v>
      </c>
      <c r="D22" s="5" t="s">
        <v>5</v>
      </c>
      <c r="E22" s="5" t="s">
        <v>206</v>
      </c>
      <c r="F22" s="5">
        <v>12345</v>
      </c>
    </row>
    <row r="23" spans="2:6" x14ac:dyDescent="0.55000000000000004">
      <c r="B23" s="1" t="s">
        <v>44</v>
      </c>
      <c r="C23" s="1" t="s">
        <v>183</v>
      </c>
      <c r="D23" s="5" t="s">
        <v>5</v>
      </c>
      <c r="E23" s="5" t="s">
        <v>206</v>
      </c>
      <c r="F23" s="5">
        <v>12345</v>
      </c>
    </row>
    <row r="24" spans="2:6" x14ac:dyDescent="0.55000000000000004">
      <c r="B24" s="1" t="s">
        <v>26</v>
      </c>
      <c r="C24" s="1" t="s">
        <v>184</v>
      </c>
      <c r="D24" s="5" t="s">
        <v>5</v>
      </c>
      <c r="E24" s="5" t="s">
        <v>206</v>
      </c>
      <c r="F24" s="5">
        <v>12345</v>
      </c>
    </row>
    <row r="25" spans="2:6" x14ac:dyDescent="0.55000000000000004">
      <c r="B25" s="1" t="s">
        <v>45</v>
      </c>
      <c r="C25" s="1" t="s">
        <v>185</v>
      </c>
      <c r="D25" s="5" t="s">
        <v>5</v>
      </c>
      <c r="E25" s="5" t="s">
        <v>206</v>
      </c>
      <c r="F25" s="5">
        <v>12345</v>
      </c>
    </row>
    <row r="26" spans="2:6" x14ac:dyDescent="0.55000000000000004">
      <c r="B26" s="1" t="s">
        <v>27</v>
      </c>
      <c r="C26" s="1" t="s">
        <v>186</v>
      </c>
      <c r="D26" s="5" t="s">
        <v>5</v>
      </c>
      <c r="E26" s="5" t="s">
        <v>206</v>
      </c>
      <c r="F26" s="5">
        <v>12345</v>
      </c>
    </row>
    <row r="27" spans="2:6" x14ac:dyDescent="0.55000000000000004">
      <c r="B27" s="1" t="s">
        <v>28</v>
      </c>
      <c r="C27" s="1" t="s">
        <v>187</v>
      </c>
      <c r="D27" s="5" t="s">
        <v>5</v>
      </c>
      <c r="E27" s="5" t="s">
        <v>206</v>
      </c>
      <c r="F27" s="5">
        <v>12345</v>
      </c>
    </row>
    <row r="28" spans="2:6" x14ac:dyDescent="0.55000000000000004">
      <c r="B28" s="1" t="s">
        <v>13</v>
      </c>
      <c r="C28" s="1" t="s">
        <v>188</v>
      </c>
      <c r="D28" s="5" t="s">
        <v>5</v>
      </c>
      <c r="E28" s="5" t="s">
        <v>206</v>
      </c>
      <c r="F28" s="5">
        <v>12345</v>
      </c>
    </row>
    <row r="29" spans="2:6" x14ac:dyDescent="0.55000000000000004">
      <c r="B29" s="1" t="s">
        <v>29</v>
      </c>
      <c r="C29" s="1" t="s">
        <v>189</v>
      </c>
      <c r="D29" s="5" t="s">
        <v>5</v>
      </c>
      <c r="E29" s="5" t="s">
        <v>206</v>
      </c>
      <c r="F29" s="5">
        <v>12345</v>
      </c>
    </row>
    <row r="30" spans="2:6" x14ac:dyDescent="0.55000000000000004">
      <c r="B30" s="1" t="s">
        <v>30</v>
      </c>
      <c r="C30" s="1" t="s">
        <v>190</v>
      </c>
      <c r="D30" s="5" t="s">
        <v>5</v>
      </c>
      <c r="E30" s="5" t="s">
        <v>206</v>
      </c>
      <c r="F30" s="5">
        <v>12345</v>
      </c>
    </row>
    <row r="31" spans="2:6" x14ac:dyDescent="0.55000000000000004">
      <c r="B31" s="1" t="s">
        <v>31</v>
      </c>
      <c r="C31" s="1" t="s">
        <v>191</v>
      </c>
      <c r="D31" s="5" t="s">
        <v>5</v>
      </c>
      <c r="E31" s="5" t="s">
        <v>206</v>
      </c>
      <c r="F31" s="5">
        <v>12345</v>
      </c>
    </row>
    <row r="32" spans="2:6" x14ac:dyDescent="0.55000000000000004">
      <c r="B32" s="1" t="s">
        <v>32</v>
      </c>
      <c r="C32" s="1" t="s">
        <v>192</v>
      </c>
      <c r="D32" s="5" t="s">
        <v>5</v>
      </c>
      <c r="E32" s="5" t="s">
        <v>206</v>
      </c>
      <c r="F32" s="5">
        <v>12345</v>
      </c>
    </row>
    <row r="33" spans="2:6" x14ac:dyDescent="0.55000000000000004">
      <c r="B33" s="1" t="s">
        <v>46</v>
      </c>
      <c r="C33" s="1" t="s">
        <v>193</v>
      </c>
      <c r="D33" s="5" t="s">
        <v>5</v>
      </c>
      <c r="E33" s="5" t="s">
        <v>206</v>
      </c>
      <c r="F33" s="5">
        <v>12345</v>
      </c>
    </row>
    <row r="34" spans="2:6" x14ac:dyDescent="0.55000000000000004">
      <c r="B34" s="1" t="s">
        <v>47</v>
      </c>
      <c r="C34" s="1" t="s">
        <v>194</v>
      </c>
      <c r="D34" s="5" t="s">
        <v>5</v>
      </c>
      <c r="E34" s="5" t="s">
        <v>206</v>
      </c>
      <c r="F34" s="5">
        <v>12345</v>
      </c>
    </row>
    <row r="35" spans="2:6" x14ac:dyDescent="0.55000000000000004">
      <c r="B35" s="1" t="s">
        <v>33</v>
      </c>
      <c r="C35" s="1" t="s">
        <v>195</v>
      </c>
      <c r="D35" s="5" t="s">
        <v>5</v>
      </c>
      <c r="E35" s="5" t="s">
        <v>206</v>
      </c>
      <c r="F35" s="5">
        <v>12345</v>
      </c>
    </row>
    <row r="36" spans="2:6" x14ac:dyDescent="0.55000000000000004">
      <c r="B36" s="1" t="s">
        <v>48</v>
      </c>
      <c r="C36" s="1" t="s">
        <v>196</v>
      </c>
      <c r="D36" s="5" t="s">
        <v>5</v>
      </c>
      <c r="E36" s="5" t="s">
        <v>206</v>
      </c>
      <c r="F36" s="5">
        <v>12345</v>
      </c>
    </row>
    <row r="37" spans="2:6" x14ac:dyDescent="0.55000000000000004">
      <c r="B37" s="1" t="s">
        <v>49</v>
      </c>
      <c r="C37" s="1" t="s">
        <v>197</v>
      </c>
      <c r="D37" s="5" t="s">
        <v>5</v>
      </c>
      <c r="E37" s="5" t="s">
        <v>206</v>
      </c>
      <c r="F37" s="5">
        <v>12345</v>
      </c>
    </row>
    <row r="38" spans="2:6" x14ac:dyDescent="0.55000000000000004">
      <c r="B38" s="1" t="s">
        <v>34</v>
      </c>
      <c r="C38" s="1" t="s">
        <v>198</v>
      </c>
      <c r="D38" s="5" t="s">
        <v>5</v>
      </c>
      <c r="E38" s="5" t="s">
        <v>206</v>
      </c>
      <c r="F38" s="5">
        <v>12345</v>
      </c>
    </row>
    <row r="39" spans="2:6" x14ac:dyDescent="0.55000000000000004">
      <c r="B39" s="1" t="s">
        <v>50</v>
      </c>
      <c r="C39" s="1" t="s">
        <v>199</v>
      </c>
      <c r="D39" s="5" t="s">
        <v>5</v>
      </c>
      <c r="E39" s="5" t="s">
        <v>206</v>
      </c>
      <c r="F39" s="5">
        <v>12345</v>
      </c>
    </row>
    <row r="40" spans="2:6" x14ac:dyDescent="0.55000000000000004">
      <c r="B40" s="1" t="s">
        <v>51</v>
      </c>
      <c r="C40" s="1" t="s">
        <v>200</v>
      </c>
      <c r="D40" s="5" t="s">
        <v>5</v>
      </c>
      <c r="E40" s="5" t="s">
        <v>206</v>
      </c>
      <c r="F40" s="5">
        <v>12345</v>
      </c>
    </row>
  </sheetData>
  <conditionalFormatting sqref="C2:C40">
    <cfRule type="duplicateValues" dxfId="0" priority="34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008D5-0FF5-412E-8F13-ACDEC1DBBA27}">
  <sheetPr codeName="Sheet11"/>
  <dimension ref="B3:E10"/>
  <sheetViews>
    <sheetView workbookViewId="0">
      <selection activeCell="E4" sqref="E4"/>
    </sheetView>
  </sheetViews>
  <sheetFormatPr defaultRowHeight="14.4" x14ac:dyDescent="0.55000000000000004"/>
  <sheetData>
    <row r="3" spans="2:5" x14ac:dyDescent="0.55000000000000004">
      <c r="B3" t="s">
        <v>215</v>
      </c>
      <c r="E3" s="9" t="s">
        <v>220</v>
      </c>
    </row>
    <row r="4" spans="2:5" x14ac:dyDescent="0.55000000000000004">
      <c r="B4" t="s">
        <v>216</v>
      </c>
      <c r="E4" t="s">
        <v>224</v>
      </c>
    </row>
    <row r="5" spans="2:5" x14ac:dyDescent="0.55000000000000004">
      <c r="B5" t="s">
        <v>202</v>
      </c>
      <c r="E5" t="s">
        <v>221</v>
      </c>
    </row>
    <row r="6" spans="2:5" x14ac:dyDescent="0.55000000000000004">
      <c r="B6" t="s">
        <v>35</v>
      </c>
      <c r="E6" t="s">
        <v>222</v>
      </c>
    </row>
    <row r="7" spans="2:5" x14ac:dyDescent="0.55000000000000004">
      <c r="E7" t="s">
        <v>226</v>
      </c>
    </row>
    <row r="8" spans="2:5" x14ac:dyDescent="0.55000000000000004">
      <c r="E8" t="s">
        <v>223</v>
      </c>
    </row>
    <row r="9" spans="2:5" x14ac:dyDescent="0.55000000000000004">
      <c r="E9" t="s">
        <v>227</v>
      </c>
    </row>
    <row r="10" spans="2:5" x14ac:dyDescent="0.55000000000000004">
      <c r="E10" t="s">
        <v>225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09165-CFBC-43CD-B6F3-46C43E0F380B}">
  <sheetPr codeName="Sheet12"/>
  <dimension ref="B3:B17"/>
  <sheetViews>
    <sheetView workbookViewId="0"/>
  </sheetViews>
  <sheetFormatPr defaultRowHeight="14.4" x14ac:dyDescent="0.55000000000000004"/>
  <sheetData>
    <row r="3" spans="2:2" x14ac:dyDescent="0.55000000000000004">
      <c r="B3" t="s">
        <v>215</v>
      </c>
    </row>
    <row r="4" spans="2:2" x14ac:dyDescent="0.55000000000000004">
      <c r="B4" t="s">
        <v>217</v>
      </c>
    </row>
    <row r="5" spans="2:2" x14ac:dyDescent="0.55000000000000004">
      <c r="B5" t="s">
        <v>203</v>
      </c>
    </row>
    <row r="6" spans="2:2" x14ac:dyDescent="0.55000000000000004">
      <c r="B6" t="s">
        <v>8</v>
      </c>
    </row>
    <row r="7" spans="2:2" x14ac:dyDescent="0.55000000000000004">
      <c r="B7" t="s">
        <v>39</v>
      </c>
    </row>
    <row r="8" spans="2:2" x14ac:dyDescent="0.55000000000000004">
      <c r="B8" t="s">
        <v>41</v>
      </c>
    </row>
    <row r="9" spans="2:2" x14ac:dyDescent="0.55000000000000004">
      <c r="B9" t="s">
        <v>43</v>
      </c>
    </row>
    <row r="10" spans="2:2" x14ac:dyDescent="0.55000000000000004">
      <c r="B10" t="s">
        <v>44</v>
      </c>
    </row>
    <row r="11" spans="2:2" x14ac:dyDescent="0.55000000000000004">
      <c r="B11" t="s">
        <v>47</v>
      </c>
    </row>
    <row r="12" spans="2:2" x14ac:dyDescent="0.55000000000000004">
      <c r="B12" t="s">
        <v>48</v>
      </c>
    </row>
    <row r="13" spans="2:2" x14ac:dyDescent="0.55000000000000004">
      <c r="B13" t="s">
        <v>51</v>
      </c>
    </row>
    <row r="14" spans="2:2" x14ac:dyDescent="0.55000000000000004">
      <c r="B14" t="s">
        <v>7</v>
      </c>
    </row>
    <row r="15" spans="2:2" x14ac:dyDescent="0.55000000000000004">
      <c r="B15" t="s">
        <v>9</v>
      </c>
    </row>
    <row r="16" spans="2:2" x14ac:dyDescent="0.55000000000000004">
      <c r="B16" t="s">
        <v>52</v>
      </c>
    </row>
    <row r="17" spans="2:2" x14ac:dyDescent="0.55000000000000004">
      <c r="B17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026C8-3745-4EA8-A36A-77B9F7DA7DB0}">
  <sheetPr codeName="Sheet13"/>
  <dimension ref="B3:B23"/>
  <sheetViews>
    <sheetView workbookViewId="0"/>
  </sheetViews>
  <sheetFormatPr defaultRowHeight="14.4" x14ac:dyDescent="0.55000000000000004"/>
  <sheetData>
    <row r="3" spans="2:2" x14ac:dyDescent="0.55000000000000004">
      <c r="B3" t="s">
        <v>215</v>
      </c>
    </row>
    <row r="4" spans="2:2" x14ac:dyDescent="0.55000000000000004">
      <c r="B4" t="s">
        <v>218</v>
      </c>
    </row>
    <row r="5" spans="2:2" x14ac:dyDescent="0.55000000000000004">
      <c r="B5" t="s">
        <v>36</v>
      </c>
    </row>
    <row r="6" spans="2:2" x14ac:dyDescent="0.55000000000000004">
      <c r="B6" t="s">
        <v>37</v>
      </c>
    </row>
    <row r="7" spans="2:2" x14ac:dyDescent="0.55000000000000004">
      <c r="B7" t="s">
        <v>10</v>
      </c>
    </row>
    <row r="8" spans="2:2" x14ac:dyDescent="0.55000000000000004">
      <c r="B8" t="s">
        <v>38</v>
      </c>
    </row>
    <row r="9" spans="2:2" x14ac:dyDescent="0.55000000000000004">
      <c r="B9" t="s">
        <v>40</v>
      </c>
    </row>
    <row r="10" spans="2:2" x14ac:dyDescent="0.55000000000000004">
      <c r="B10" t="s">
        <v>15</v>
      </c>
    </row>
    <row r="11" spans="2:2" x14ac:dyDescent="0.55000000000000004">
      <c r="B11" t="s">
        <v>17</v>
      </c>
    </row>
    <row r="12" spans="2:2" x14ac:dyDescent="0.55000000000000004">
      <c r="B12" t="s">
        <v>42</v>
      </c>
    </row>
    <row r="13" spans="2:2" x14ac:dyDescent="0.55000000000000004">
      <c r="B13" t="s">
        <v>45</v>
      </c>
    </row>
    <row r="14" spans="2:2" x14ac:dyDescent="0.55000000000000004">
      <c r="B14" t="s">
        <v>28</v>
      </c>
    </row>
    <row r="15" spans="2:2" x14ac:dyDescent="0.55000000000000004">
      <c r="B15" t="s">
        <v>30</v>
      </c>
    </row>
    <row r="16" spans="2:2" x14ac:dyDescent="0.55000000000000004">
      <c r="B16" t="s">
        <v>32</v>
      </c>
    </row>
    <row r="17" spans="2:2" x14ac:dyDescent="0.55000000000000004">
      <c r="B17" t="s">
        <v>46</v>
      </c>
    </row>
    <row r="18" spans="2:2" x14ac:dyDescent="0.55000000000000004">
      <c r="B18" t="s">
        <v>49</v>
      </c>
    </row>
    <row r="19" spans="2:2" x14ac:dyDescent="0.55000000000000004">
      <c r="B19" t="s">
        <v>34</v>
      </c>
    </row>
    <row r="20" spans="2:2" x14ac:dyDescent="0.55000000000000004">
      <c r="B20" t="s">
        <v>50</v>
      </c>
    </row>
    <row r="21" spans="2:2" x14ac:dyDescent="0.55000000000000004">
      <c r="B21" t="s">
        <v>11</v>
      </c>
    </row>
    <row r="22" spans="2:2" x14ac:dyDescent="0.55000000000000004">
      <c r="B22" t="s">
        <v>16</v>
      </c>
    </row>
    <row r="23" spans="2:2" x14ac:dyDescent="0.55000000000000004">
      <c r="B23" t="s"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305A6-97F3-4F7C-8E06-ED8394F8A1F3}">
  <sheetPr codeName="Sheet14"/>
  <dimension ref="B3:B19"/>
  <sheetViews>
    <sheetView workbookViewId="0"/>
  </sheetViews>
  <sheetFormatPr defaultRowHeight="14.4" x14ac:dyDescent="0.55000000000000004"/>
  <sheetData>
    <row r="3" spans="2:2" x14ac:dyDescent="0.55000000000000004">
      <c r="B3" t="s">
        <v>215</v>
      </c>
    </row>
    <row r="4" spans="2:2" x14ac:dyDescent="0.55000000000000004">
      <c r="B4" t="s">
        <v>219</v>
      </c>
    </row>
    <row r="5" spans="2:2" x14ac:dyDescent="0.55000000000000004">
      <c r="B5" t="s">
        <v>12</v>
      </c>
    </row>
    <row r="6" spans="2:2" x14ac:dyDescent="0.55000000000000004">
      <c r="B6" t="s">
        <v>14</v>
      </c>
    </row>
    <row r="7" spans="2:2" x14ac:dyDescent="0.55000000000000004">
      <c r="B7" t="s">
        <v>18</v>
      </c>
    </row>
    <row r="8" spans="2:2" x14ac:dyDescent="0.55000000000000004">
      <c r="B8" t="s">
        <v>19</v>
      </c>
    </row>
    <row r="9" spans="2:2" x14ac:dyDescent="0.55000000000000004">
      <c r="B9" t="s">
        <v>20</v>
      </c>
    </row>
    <row r="10" spans="2:2" x14ac:dyDescent="0.55000000000000004">
      <c r="B10" t="s">
        <v>22</v>
      </c>
    </row>
    <row r="11" spans="2:2" x14ac:dyDescent="0.55000000000000004">
      <c r="B11" t="s">
        <v>23</v>
      </c>
    </row>
    <row r="12" spans="2:2" x14ac:dyDescent="0.55000000000000004">
      <c r="B12" t="s">
        <v>24</v>
      </c>
    </row>
    <row r="13" spans="2:2" x14ac:dyDescent="0.55000000000000004">
      <c r="B13" t="s">
        <v>25</v>
      </c>
    </row>
    <row r="14" spans="2:2" x14ac:dyDescent="0.55000000000000004">
      <c r="B14" t="s">
        <v>26</v>
      </c>
    </row>
    <row r="15" spans="2:2" x14ac:dyDescent="0.55000000000000004">
      <c r="B15" t="s">
        <v>27</v>
      </c>
    </row>
    <row r="16" spans="2:2" x14ac:dyDescent="0.55000000000000004">
      <c r="B16" t="s">
        <v>13</v>
      </c>
    </row>
    <row r="17" spans="2:2" x14ac:dyDescent="0.55000000000000004">
      <c r="B17" t="s">
        <v>29</v>
      </c>
    </row>
    <row r="18" spans="2:2" x14ac:dyDescent="0.55000000000000004">
      <c r="B18" t="s">
        <v>31</v>
      </c>
    </row>
    <row r="19" spans="2:2" x14ac:dyDescent="0.55000000000000004">
      <c r="B19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Analysis</vt:lpstr>
      <vt:lpstr>Use Indirect</vt:lpstr>
      <vt:lpstr>TX</vt:lpstr>
      <vt:lpstr>NY</vt:lpstr>
      <vt:lpstr>AZ</vt:lpstr>
      <vt:lpstr>MO</vt:lpstr>
      <vt:lpstr>1L</vt:lpstr>
      <vt:lpstr>2L</vt:lpstr>
      <vt:lpstr>3L</vt:lpstr>
      <vt:lpstr>4L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Christopher Mortimer</cp:lastModifiedBy>
  <dcterms:created xsi:type="dcterms:W3CDTF">2019-03-08T22:24:18Z</dcterms:created>
  <dcterms:modified xsi:type="dcterms:W3CDTF">2019-08-30T15:51:43Z</dcterms:modified>
</cp:coreProperties>
</file>